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Imágenes/Reportes Mexico/Movimientos INV/"/>
    </mc:Choice>
  </mc:AlternateContent>
  <xr:revisionPtr revIDLastSave="1092" documentId="8_{2B3238F9-FDCB-4A98-A389-7625E4BDA320}" xr6:coauthVersionLast="47" xr6:coauthVersionMax="47" xr10:uidLastSave="{8DA9BC3A-6DFE-4833-955F-2C7DAEF894FE}"/>
  <bookViews>
    <workbookView xWindow="-120" yWindow="-120" windowWidth="20730" windowHeight="11040" activeTab="2" xr2:uid="{DC73B33C-4ED6-44ED-A68F-85B29FD1BBE1}"/>
  </bookViews>
  <sheets>
    <sheet name="Tbl" sheetId="1" r:id="rId1"/>
    <sheet name="Costos" sheetId="2" r:id="rId2"/>
    <sheet name="Hoj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2" i="3" l="1"/>
  <c r="M102" i="3" s="1"/>
  <c r="D103" i="3"/>
  <c r="D104" i="3"/>
  <c r="M104" i="3" s="1"/>
  <c r="D105" i="3"/>
  <c r="D106" i="3"/>
  <c r="M106" i="3" s="1"/>
  <c r="D107" i="3"/>
  <c r="D108" i="3"/>
  <c r="D109" i="3"/>
  <c r="M109" i="3" s="1"/>
  <c r="D110" i="3"/>
  <c r="M110" i="3" s="1"/>
  <c r="D111" i="3"/>
  <c r="D112" i="3"/>
  <c r="M112" i="3" s="1"/>
  <c r="D113" i="3"/>
  <c r="D114" i="3"/>
  <c r="M114" i="3" s="1"/>
  <c r="D115" i="3"/>
  <c r="D116" i="3"/>
  <c r="D117" i="3"/>
  <c r="M117" i="3" s="1"/>
  <c r="D118" i="3"/>
  <c r="M118" i="3" s="1"/>
  <c r="D119" i="3"/>
  <c r="D120" i="3"/>
  <c r="M120" i="3" s="1"/>
  <c r="D121" i="3"/>
  <c r="D101" i="3"/>
  <c r="M101" i="3" s="1"/>
  <c r="D81" i="3"/>
  <c r="D82" i="3"/>
  <c r="D83" i="3"/>
  <c r="D84" i="3"/>
  <c r="D85" i="3"/>
  <c r="D86" i="3"/>
  <c r="M86" i="3" s="1"/>
  <c r="D87" i="3"/>
  <c r="M87" i="3" s="1"/>
  <c r="D88" i="3"/>
  <c r="M88" i="3" s="1"/>
  <c r="D89" i="3"/>
  <c r="D90" i="3"/>
  <c r="D91" i="3"/>
  <c r="D92" i="3"/>
  <c r="D93" i="3"/>
  <c r="D94" i="3"/>
  <c r="D95" i="3"/>
  <c r="M95" i="3" s="1"/>
  <c r="D96" i="3"/>
  <c r="M96" i="3" s="1"/>
  <c r="D97" i="3"/>
  <c r="D98" i="3"/>
  <c r="D99" i="3"/>
  <c r="D100" i="3"/>
  <c r="D80" i="3"/>
  <c r="M80" i="3" s="1"/>
  <c r="M79" i="3"/>
  <c r="M75" i="3"/>
  <c r="M5" i="3"/>
  <c r="M6" i="3"/>
  <c r="D23" i="3" s="1"/>
  <c r="M23" i="3" s="1"/>
  <c r="M7" i="3"/>
  <c r="D24" i="3" s="1"/>
  <c r="M24" i="3" s="1"/>
  <c r="M8" i="3"/>
  <c r="M9" i="3"/>
  <c r="D26" i="3" s="1"/>
  <c r="M26" i="3" s="1"/>
  <c r="M10" i="3"/>
  <c r="M11" i="3"/>
  <c r="M12" i="3"/>
  <c r="D29" i="3" s="1"/>
  <c r="M29" i="3" s="1"/>
  <c r="M13" i="3"/>
  <c r="M14" i="3"/>
  <c r="M15" i="3"/>
  <c r="D32" i="3" s="1"/>
  <c r="M32" i="3" s="1"/>
  <c r="M16" i="3"/>
  <c r="M17" i="3"/>
  <c r="M18" i="3"/>
  <c r="M19" i="3"/>
  <c r="M20" i="3"/>
  <c r="D37" i="3" s="1"/>
  <c r="M37" i="3" s="1"/>
  <c r="M55" i="3"/>
  <c r="D76" i="3" s="1"/>
  <c r="M76" i="3" s="1"/>
  <c r="M56" i="3"/>
  <c r="D77" i="3" s="1"/>
  <c r="M77" i="3" s="1"/>
  <c r="M57" i="3"/>
  <c r="D78" i="3" s="1"/>
  <c r="M78" i="3" s="1"/>
  <c r="M58" i="3"/>
  <c r="I79" i="3" s="1"/>
  <c r="M81" i="3"/>
  <c r="M82" i="3"/>
  <c r="M83" i="3"/>
  <c r="M84" i="3"/>
  <c r="M85" i="3"/>
  <c r="M89" i="3"/>
  <c r="M90" i="3"/>
  <c r="M91" i="3"/>
  <c r="M92" i="3"/>
  <c r="M93" i="3"/>
  <c r="M94" i="3"/>
  <c r="M97" i="3"/>
  <c r="M98" i="3"/>
  <c r="M99" i="3"/>
  <c r="M100" i="3"/>
  <c r="M103" i="3"/>
  <c r="M105" i="3"/>
  <c r="M107" i="3"/>
  <c r="M108" i="3"/>
  <c r="M111" i="3"/>
  <c r="M113" i="3"/>
  <c r="M115" i="3"/>
  <c r="M116" i="3"/>
  <c r="M119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4" i="3"/>
  <c r="D21" i="3" s="1"/>
  <c r="M21" i="3" s="1"/>
  <c r="D27" i="3"/>
  <c r="M27" i="3" s="1"/>
  <c r="D30" i="3"/>
  <c r="M30" i="3" s="1"/>
  <c r="D31" i="3"/>
  <c r="M31" i="3" s="1"/>
  <c r="D34" i="3"/>
  <c r="M34" i="3" s="1"/>
  <c r="D35" i="3"/>
  <c r="M35" i="3" s="1"/>
  <c r="D22" i="3"/>
  <c r="M22" i="3" s="1"/>
  <c r="D25" i="3"/>
  <c r="M25" i="3" s="1"/>
  <c r="D28" i="3"/>
  <c r="M28" i="3" s="1"/>
  <c r="D33" i="3"/>
  <c r="M33" i="3" s="1"/>
  <c r="D36" i="3"/>
  <c r="M36" i="3" s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5" i="1"/>
  <c r="J225" i="1"/>
  <c r="J224" i="1"/>
  <c r="J222" i="1"/>
  <c r="J217" i="1"/>
  <c r="J216" i="1"/>
  <c r="J214" i="1"/>
  <c r="J210" i="1"/>
  <c r="J209" i="1"/>
  <c r="J208" i="1"/>
  <c r="J207" i="1"/>
  <c r="J201" i="1"/>
  <c r="J200" i="1"/>
  <c r="J198" i="1"/>
  <c r="J211" i="1"/>
  <c r="J203" i="1"/>
  <c r="J196" i="1"/>
  <c r="J197" i="1"/>
  <c r="J199" i="1"/>
  <c r="J202" i="1"/>
  <c r="J204" i="1"/>
  <c r="J205" i="1"/>
  <c r="J206" i="1"/>
  <c r="J212" i="1"/>
  <c r="J213" i="1"/>
  <c r="J215" i="1"/>
  <c r="J218" i="1"/>
  <c r="J219" i="1"/>
  <c r="J220" i="1"/>
  <c r="J221" i="1"/>
  <c r="J223" i="1"/>
  <c r="J226" i="1"/>
  <c r="J195" i="1"/>
  <c r="J194" i="1"/>
  <c r="J193" i="1"/>
  <c r="J191" i="1"/>
  <c r="J192" i="1"/>
  <c r="J164" i="1"/>
  <c r="J159" i="1"/>
  <c r="J155" i="1"/>
  <c r="J152" i="1"/>
  <c r="J151" i="1"/>
  <c r="J147" i="1"/>
  <c r="J145" i="1"/>
  <c r="J143" i="1"/>
  <c r="J139" i="1"/>
  <c r="E6" i="1"/>
  <c r="J6" i="1" s="1"/>
  <c r="J79" i="1"/>
  <c r="J30" i="1"/>
  <c r="J27" i="1"/>
  <c r="J53" i="1"/>
  <c r="J56" i="1"/>
  <c r="J82" i="1"/>
  <c r="J105" i="1"/>
  <c r="J106" i="1"/>
  <c r="J98" i="1"/>
  <c r="J87" i="1"/>
  <c r="E7" i="1"/>
  <c r="J7" i="1" s="1"/>
  <c r="J8" i="1"/>
  <c r="J14" i="1"/>
  <c r="J15" i="1"/>
  <c r="J18" i="1"/>
  <c r="J19" i="1"/>
  <c r="J23" i="1"/>
  <c r="J24" i="1"/>
  <c r="J25" i="1"/>
  <c r="J26" i="1"/>
  <c r="J28" i="1"/>
  <c r="J29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4" i="1"/>
  <c r="J55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80" i="1"/>
  <c r="J81" i="1"/>
  <c r="J83" i="1"/>
  <c r="J84" i="1"/>
  <c r="J85" i="1"/>
  <c r="J86" i="1"/>
  <c r="J88" i="1"/>
  <c r="J89" i="1"/>
  <c r="J90" i="1"/>
  <c r="J91" i="1"/>
  <c r="J92" i="1"/>
  <c r="J93" i="1"/>
  <c r="J94" i="1"/>
  <c r="J95" i="1"/>
  <c r="J96" i="1"/>
  <c r="J97" i="1"/>
  <c r="J99" i="1"/>
  <c r="J100" i="1"/>
  <c r="J101" i="1"/>
  <c r="J102" i="1"/>
  <c r="J103" i="1"/>
  <c r="J104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40" i="1"/>
  <c r="J141" i="1"/>
  <c r="J142" i="1"/>
  <c r="J144" i="1"/>
  <c r="J146" i="1"/>
  <c r="J148" i="1"/>
  <c r="J149" i="1"/>
  <c r="J150" i="1"/>
  <c r="J153" i="1"/>
  <c r="J154" i="1"/>
  <c r="J156" i="1"/>
  <c r="J157" i="1"/>
  <c r="J158" i="1"/>
  <c r="J160" i="1"/>
  <c r="J161" i="1"/>
  <c r="J162" i="1"/>
  <c r="J163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5" i="1"/>
  <c r="E22" i="1"/>
  <c r="J22" i="1" s="1"/>
  <c r="E20" i="1"/>
  <c r="J20" i="1" s="1"/>
  <c r="E17" i="1"/>
  <c r="J17" i="1" s="1"/>
  <c r="E16" i="1"/>
  <c r="J16" i="1" s="1"/>
  <c r="E13" i="1"/>
  <c r="J13" i="1" s="1"/>
  <c r="E12" i="1"/>
  <c r="J12" i="1" s="1"/>
  <c r="E10" i="1"/>
  <c r="J10" i="1" s="1"/>
  <c r="E9" i="1"/>
  <c r="J9" i="1" s="1"/>
  <c r="E21" i="1"/>
  <c r="J21" i="1" s="1"/>
  <c r="E11" i="1"/>
  <c r="J11" i="1" s="1"/>
  <c r="D46" i="3" l="1"/>
  <c r="D49" i="3"/>
  <c r="D41" i="3"/>
  <c r="D40" i="3"/>
  <c r="D48" i="3"/>
  <c r="D39" i="3"/>
  <c r="D54" i="3"/>
  <c r="D43" i="3"/>
  <c r="D51" i="3"/>
  <c r="D42" i="3"/>
  <c r="D50" i="3"/>
  <c r="D47" i="3"/>
  <c r="D53" i="3"/>
  <c r="D44" i="3"/>
  <c r="D52" i="3"/>
  <c r="D38" i="3"/>
  <c r="M38" i="3" s="1"/>
  <c r="D45" i="3"/>
  <c r="M52" i="3" l="1"/>
  <c r="D73" i="3" s="1"/>
  <c r="M73" i="3" s="1"/>
  <c r="M54" i="3"/>
  <c r="D75" i="3" s="1"/>
  <c r="M44" i="3"/>
  <c r="D65" i="3" s="1"/>
  <c r="M65" i="3" s="1"/>
  <c r="M39" i="3"/>
  <c r="D60" i="3" s="1"/>
  <c r="M60" i="3" s="1"/>
  <c r="M53" i="3"/>
  <c r="D74" i="3" s="1"/>
  <c r="M74" i="3" s="1"/>
  <c r="D69" i="3"/>
  <c r="M69" i="3" s="1"/>
  <c r="M48" i="3"/>
  <c r="M47" i="3"/>
  <c r="D68" i="3" s="1"/>
  <c r="M68" i="3" s="1"/>
  <c r="M40" i="3"/>
  <c r="D61" i="3" s="1"/>
  <c r="M61" i="3" s="1"/>
  <c r="M50" i="3"/>
  <c r="D71" i="3" s="1"/>
  <c r="M71" i="3" s="1"/>
  <c r="M41" i="3"/>
  <c r="D62" i="3" s="1"/>
  <c r="M62" i="3" s="1"/>
  <c r="M42" i="3"/>
  <c r="D63" i="3" s="1"/>
  <c r="M63" i="3" s="1"/>
  <c r="M43" i="3"/>
  <c r="D64" i="3" s="1"/>
  <c r="M64" i="3" s="1"/>
  <c r="M49" i="3"/>
  <c r="D70" i="3" s="1"/>
  <c r="M70" i="3" s="1"/>
  <c r="M45" i="3"/>
  <c r="D66" i="3" s="1"/>
  <c r="M66" i="3" s="1"/>
  <c r="M51" i="3"/>
  <c r="D72" i="3" s="1"/>
  <c r="M72" i="3" s="1"/>
  <c r="M46" i="3"/>
  <c r="D67" i="3" s="1"/>
  <c r="M67" i="3" s="1"/>
  <c r="D59" i="3"/>
  <c r="M59" i="3" s="1"/>
</calcChain>
</file>

<file path=xl/sharedStrings.xml><?xml version="1.0" encoding="utf-8"?>
<sst xmlns="http://schemas.openxmlformats.org/spreadsheetml/2006/main" count="403" uniqueCount="62">
  <si>
    <t>Fecha</t>
  </si>
  <si>
    <t>Salida</t>
  </si>
  <si>
    <t>Descripcion</t>
  </si>
  <si>
    <t>Bascula Digital de Vidrio Antideslizante</t>
  </si>
  <si>
    <t>Inventario Inicial</t>
  </si>
  <si>
    <t>Inventario Final</t>
  </si>
  <si>
    <t>Inodoro Portatil</t>
  </si>
  <si>
    <t>Silla de Ruedas Standar</t>
  </si>
  <si>
    <t xml:space="preserve">Silla de Baño con Respaldo </t>
  </si>
  <si>
    <t>Nebulizador Pediatrico Elefante Rosa</t>
  </si>
  <si>
    <t xml:space="preserve">Nebulizador Pediatrico Elefante Celeste </t>
  </si>
  <si>
    <t>Termometro Pediatrico Osito</t>
  </si>
  <si>
    <t xml:space="preserve">Termometro Pediatrico Koala </t>
  </si>
  <si>
    <t xml:space="preserve">Termometro Pediatrico Panda </t>
  </si>
  <si>
    <t xml:space="preserve">Termometro Pediatrico Ranita </t>
  </si>
  <si>
    <t xml:space="preserve">Nebulizador Adulto Moderno NBA-01WA </t>
  </si>
  <si>
    <t xml:space="preserve">Bascula Digital de Vidrio Transparente </t>
  </si>
  <si>
    <t xml:space="preserve">Bascula Digital de Vidrio Marmol </t>
  </si>
  <si>
    <t xml:space="preserve">Cojin de Espuma de Memoria Cuadrado </t>
  </si>
  <si>
    <t>Nebulizador Adulto NBA-05WA</t>
  </si>
  <si>
    <t xml:space="preserve">Prueba de Embarazo Wellpro Response Tipo Lápiz </t>
  </si>
  <si>
    <t>Termometro Pediatrico Cerdito</t>
  </si>
  <si>
    <t>Nebulizador Adulto Moderno NBA-10WA</t>
  </si>
  <si>
    <t xml:space="preserve">Nebulizador Pediátrico Búho Blanco </t>
  </si>
  <si>
    <t>Nebulizador Pediátrico Búho Rosado</t>
  </si>
  <si>
    <t>Nebulizador Pediátrico Búho Celeste</t>
  </si>
  <si>
    <t>Tarjetas Aromatizantes con Frases Motivacionales</t>
  </si>
  <si>
    <t>Nebulizador Adulto NBA-00WA</t>
  </si>
  <si>
    <t xml:space="preserve">Nebulizador Adulto NBA-00WA </t>
  </si>
  <si>
    <t>Tarjetas Aromatizantes con Frases Religiosas</t>
  </si>
  <si>
    <t>Salida Almacen</t>
  </si>
  <si>
    <t>Compra</t>
  </si>
  <si>
    <t>Entrada dev</t>
  </si>
  <si>
    <t xml:space="preserve">Tarjetas Aromatizantes con Imagenes Religiosas </t>
  </si>
  <si>
    <t xml:space="preserve">Pack Tarjetas Aromatizantes Mix Religioso </t>
  </si>
  <si>
    <t>Kit de Nebulización Adulto</t>
  </si>
  <si>
    <t xml:space="preserve">Kit de Nebulización Pediátrico </t>
  </si>
  <si>
    <t xml:space="preserve">Nebulizador Pediátrico Kitty </t>
  </si>
  <si>
    <t xml:space="preserve">Nebulizador Pediátrico Penguin </t>
  </si>
  <si>
    <t xml:space="preserve">Nebulizador Pediátrico Panda </t>
  </si>
  <si>
    <t>PRODUCTO</t>
  </si>
  <si>
    <t>COSTO</t>
  </si>
  <si>
    <t>COSTOS</t>
  </si>
  <si>
    <t>Silla de Baño con Respaldo</t>
  </si>
  <si>
    <t>Nebulizador Pediatrico Elefante Celeste</t>
  </si>
  <si>
    <t>Termometro Pediatrico Koala</t>
  </si>
  <si>
    <t>Termometro Pediatrico Panda</t>
  </si>
  <si>
    <t>Termometro Pediatrico Ranita</t>
  </si>
  <si>
    <t>Nebulizador Adulto Moderno NBA-01WA</t>
  </si>
  <si>
    <t>Bascula Digital de Vidrio Marmol</t>
  </si>
  <si>
    <t>Cojin de Espuma de Memoria Cuadrado</t>
  </si>
  <si>
    <t>Ganchos de Plastico</t>
  </si>
  <si>
    <t xml:space="preserve">ALMACEN CONSIGNA SANA </t>
  </si>
  <si>
    <t xml:space="preserve">Termometro Pediatrico Cerdito </t>
  </si>
  <si>
    <t>Tarjetas Aromatizantes con Imagenes Religiosas</t>
  </si>
  <si>
    <t>Tablero de Papel</t>
  </si>
  <si>
    <t>Cancelación Inventario</t>
  </si>
  <si>
    <t>Lueg de unas salidas el inventario se ajusto a otra cantidad</t>
  </si>
  <si>
    <t>El sistema da otro dato</t>
  </si>
  <si>
    <t>UNEFARM</t>
  </si>
  <si>
    <t>PROMOCIONALES -TRASPASO</t>
  </si>
  <si>
    <t xml:space="preserve">Nebulizador Adulto Moderno NBA-10WA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</si>
</sst>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80A]#,##0.00000000;\-[$$-80A]#,##0.00000000;[$$-80A]#,##0.00000000;@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17" fontId="0" fillId="0" borderId="0" xfId="0" applyNumberFormat="1"/>
    <xf numFmtId="0" fontId="0" fillId="4" borderId="0" xfId="0" applyFill="1"/>
    <xf numFmtId="17" fontId="0" fillId="2" borderId="0" xfId="0" applyNumberFormat="1" applyFill="1"/>
    <xf numFmtId="3" fontId="0" fillId="0" borderId="0" xfId="0" applyNumberFormat="1" applyAlignment="1">
      <alignment horizontal="center"/>
    </xf>
    <xf numFmtId="3" fontId="0" fillId="2" borderId="0" xfId="0" applyNumberFormat="1" applyFill="1" applyAlignment="1">
      <alignment horizontal="center"/>
    </xf>
    <xf numFmtId="15" fontId="0" fillId="0" borderId="0" xfId="0" applyNumberFormat="1"/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6" borderId="1" xfId="0" applyFill="1" applyBorder="1"/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164" fontId="0" fillId="0" borderId="2" xfId="0" applyNumberFormat="1" applyBorder="1" applyAlignment="1">
      <alignment horizontal="right" vertical="center"/>
    </xf>
    <xf numFmtId="0" fontId="3" fillId="5" borderId="3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4" fontId="3" fillId="5" borderId="1" xfId="0" applyNumberFormat="1" applyFont="1" applyFill="1" applyBorder="1" applyAlignment="1">
      <alignment horizontal="center" wrapText="1"/>
    </xf>
    <xf numFmtId="4" fontId="0" fillId="0" borderId="0" xfId="0" applyNumberFormat="1"/>
    <xf numFmtId="3" fontId="0" fillId="0" borderId="0" xfId="0" applyNumberFormat="1"/>
    <xf numFmtId="0" fontId="0" fillId="7" borderId="0" xfId="0" applyFill="1"/>
    <xf numFmtId="3" fontId="0" fillId="7" borderId="0" xfId="0" applyNumberFormat="1" applyFill="1"/>
    <xf numFmtId="0" fontId="0" fillId="8" borderId="0" xfId="0" applyFill="1"/>
    <xf numFmtId="0" fontId="0" fillId="9" borderId="0" xfId="0" applyFill="1"/>
    <xf numFmtId="4" fontId="0" fillId="9" borderId="0" xfId="0" applyNumberFormat="1" applyFill="1"/>
    <xf numFmtId="0" fontId="0" fillId="0" borderId="0" xfId="0" applyAlignment="1">
      <alignment wrapText="1"/>
    </xf>
    <xf numFmtId="164" fontId="0" fillId="0" borderId="2" xfId="0" applyNumberFormat="1" applyBorder="1" applyAlignment="1">
      <alignment horizontal="right" vertical="center" wrapText="1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04FC5-404C-4139-9D09-62C3C86DB155}" name="Tabla1" displayName="Tabla1" ref="B4:J226" totalsRowShown="0" headerRowDxfId="1">
  <autoFilter ref="B4:J226" xr:uid="{E7D04FC5-404C-4139-9D09-62C3C86DB155}"/>
  <tableColumns count="9">
    <tableColumn id="1" xr3:uid="{738036F6-A7F7-405F-B03F-DEB606EF2E2A}" name="Fecha"/>
    <tableColumn id="2" xr3:uid="{DB5AE8C5-9D04-444B-BE49-61875F621A76}" name="Descripcion"/>
    <tableColumn id="9" xr3:uid="{3CFAD0B2-932A-4655-BC02-AA6C89E8FDCF}" name="COSTOS"/>
    <tableColumn id="3" xr3:uid="{0A113F91-C7A1-4809-B9CD-676A13DC956E}" name="Inventario Inicial"/>
    <tableColumn id="4" xr3:uid="{78BF05DB-FC6D-4D4B-9FC5-AFA66E83D9BF}" name="Compra"/>
    <tableColumn id="5" xr3:uid="{E747F42F-0C7D-4A71-9318-EC63CC35A60C}" name="Entrada dev"/>
    <tableColumn id="6" xr3:uid="{9CCE6F85-D47A-4F02-8544-675B578B7859}" name="Salida"/>
    <tableColumn id="7" xr3:uid="{64A6499A-B5F4-461A-87B9-27CC2FF94BC5}" name="Salida Almacen"/>
    <tableColumn id="8" xr3:uid="{5CC064F3-C503-4B00-8DC2-0F512E7AC65D}" name="Inventario Final" dataDxfId="0">
      <calculatedColumnFormula>(E5+G5+F5)-(H5+I5)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DA9B-8B7F-46E2-8076-BAD094205856}">
  <dimension ref="A4:O226"/>
  <sheetViews>
    <sheetView zoomScaleNormal="100" workbookViewId="0">
      <selection activeCell="A5" sqref="A5:A226"/>
    </sheetView>
  </sheetViews>
  <sheetFormatPr baseColWidth="10" defaultRowHeight="15" x14ac:dyDescent="0.25"/>
  <cols>
    <col min="1" max="1" width="17.28515625" customWidth="1"/>
    <col min="3" max="3" width="54.140625" customWidth="1"/>
    <col min="4" max="5" width="21.85546875" customWidth="1"/>
    <col min="6" max="6" width="13.7109375" customWidth="1"/>
    <col min="8" max="8" width="16.7109375" customWidth="1"/>
    <col min="9" max="9" width="17" style="9" customWidth="1"/>
  </cols>
  <sheetData>
    <row r="4" spans="1:10" x14ac:dyDescent="0.25">
      <c r="A4" t="s">
        <v>41</v>
      </c>
      <c r="B4" s="8" t="s">
        <v>0</v>
      </c>
      <c r="C4" s="8" t="s">
        <v>2</v>
      </c>
      <c r="D4" s="8" t="s">
        <v>42</v>
      </c>
      <c r="E4" s="8" t="s">
        <v>4</v>
      </c>
      <c r="F4" s="8" t="s">
        <v>31</v>
      </c>
      <c r="G4" s="8" t="s">
        <v>32</v>
      </c>
      <c r="H4" s="8" t="s">
        <v>1</v>
      </c>
      <c r="I4" s="8" t="s">
        <v>30</v>
      </c>
      <c r="J4" s="10" t="s">
        <v>5</v>
      </c>
    </row>
    <row r="5" spans="1:10" x14ac:dyDescent="0.25">
      <c r="A5" s="27">
        <f>_xlfn.XLOOKUP(Tabla1[[#This Row],[Descripcion]],Costos!A:A,Costos!B:B)</f>
        <v>1086.7487000399999</v>
      </c>
      <c r="B5" s="2">
        <v>46023</v>
      </c>
      <c r="C5" t="s">
        <v>7</v>
      </c>
      <c r="D5">
        <v>1086.7487000399999</v>
      </c>
      <c r="E5" s="5">
        <v>29</v>
      </c>
      <c r="F5" s="5">
        <v>0</v>
      </c>
      <c r="G5" s="5">
        <v>0</v>
      </c>
      <c r="H5" s="5">
        <v>15</v>
      </c>
      <c r="I5" s="5">
        <v>0</v>
      </c>
      <c r="J5" s="5">
        <f>(E5+G5+F5)-(H5+I5)</f>
        <v>14</v>
      </c>
    </row>
    <row r="6" spans="1:10" x14ac:dyDescent="0.25">
      <c r="A6" s="27">
        <f>_xlfn.XLOOKUP(Tabla1[[#This Row],[Descripcion]],Costos!A:A,Costos!B:B)</f>
        <v>349.31270000000001</v>
      </c>
      <c r="B6" s="2">
        <v>46023</v>
      </c>
      <c r="C6" t="s">
        <v>8</v>
      </c>
      <c r="D6">
        <v>349.31270000000001</v>
      </c>
      <c r="E6" s="5">
        <f>519+4</f>
        <v>523</v>
      </c>
      <c r="F6" s="5">
        <v>0</v>
      </c>
      <c r="G6" s="5">
        <v>0</v>
      </c>
      <c r="H6" s="5">
        <v>0</v>
      </c>
      <c r="I6" s="5">
        <v>0</v>
      </c>
      <c r="J6" s="5">
        <f t="shared" ref="J6:J73" si="0">(E6+G6+F6)-(H6+I6)</f>
        <v>523</v>
      </c>
    </row>
    <row r="7" spans="1:10" x14ac:dyDescent="0.25">
      <c r="A7" s="27">
        <f>_xlfn.XLOOKUP(Tabla1[[#This Row],[Descripcion]],Costos!A:A,Costos!B:B)</f>
        <v>447.78148077999998</v>
      </c>
      <c r="B7" s="2">
        <v>46023</v>
      </c>
      <c r="C7" t="s">
        <v>9</v>
      </c>
      <c r="D7">
        <v>447.78148077999998</v>
      </c>
      <c r="E7" s="5">
        <f>11354</f>
        <v>11354</v>
      </c>
      <c r="F7" s="5">
        <v>0</v>
      </c>
      <c r="G7" s="5">
        <v>0</v>
      </c>
      <c r="H7" s="5">
        <v>37</v>
      </c>
      <c r="I7" s="5">
        <v>0</v>
      </c>
      <c r="J7" s="5">
        <f t="shared" si="0"/>
        <v>11317</v>
      </c>
    </row>
    <row r="8" spans="1:10" x14ac:dyDescent="0.25">
      <c r="A8" s="27">
        <f>_xlfn.XLOOKUP(Tabla1[[#This Row],[Descripcion]],Costos!A:A,Costos!B:B)</f>
        <v>451.39645788000001</v>
      </c>
      <c r="B8" s="2">
        <v>46023</v>
      </c>
      <c r="C8" t="s">
        <v>10</v>
      </c>
      <c r="D8">
        <v>451.39645788000001</v>
      </c>
      <c r="E8" s="5">
        <v>3173</v>
      </c>
      <c r="F8" s="5">
        <v>0</v>
      </c>
      <c r="G8" s="5">
        <v>144</v>
      </c>
      <c r="H8" s="5">
        <v>390</v>
      </c>
      <c r="I8" s="5">
        <v>0</v>
      </c>
      <c r="J8" s="5">
        <f t="shared" si="0"/>
        <v>2927</v>
      </c>
    </row>
    <row r="9" spans="1:10" x14ac:dyDescent="0.25">
      <c r="A9" s="27">
        <f>_xlfn.XLOOKUP(Tabla1[[#This Row],[Descripcion]],Costos!A:A,Costos!B:B)</f>
        <v>58.319144649999998</v>
      </c>
      <c r="B9" s="2">
        <v>46023</v>
      </c>
      <c r="C9" t="s">
        <v>11</v>
      </c>
      <c r="D9">
        <v>58.319144649999998</v>
      </c>
      <c r="E9" s="5">
        <f>22727+20+464</f>
        <v>23211</v>
      </c>
      <c r="F9" s="5">
        <v>0</v>
      </c>
      <c r="G9" s="5">
        <v>0</v>
      </c>
      <c r="H9" s="5">
        <v>2165</v>
      </c>
      <c r="I9" s="5">
        <v>0</v>
      </c>
      <c r="J9" s="5">
        <f t="shared" si="0"/>
        <v>21046</v>
      </c>
    </row>
    <row r="10" spans="1:10" x14ac:dyDescent="0.25">
      <c r="A10" s="27">
        <f>_xlfn.XLOOKUP(Tabla1[[#This Row],[Descripcion]],Costos!A:A,Costos!B:B)</f>
        <v>58.065091809999998</v>
      </c>
      <c r="B10" s="2">
        <v>46023</v>
      </c>
      <c r="C10" t="s">
        <v>12</v>
      </c>
      <c r="D10">
        <v>58.065091809999998</v>
      </c>
      <c r="E10" s="5">
        <f>23069+20+472</f>
        <v>23561</v>
      </c>
      <c r="F10" s="5">
        <v>0</v>
      </c>
      <c r="G10" s="5">
        <v>0</v>
      </c>
      <c r="H10" s="5">
        <v>2136</v>
      </c>
      <c r="I10" s="5">
        <v>0</v>
      </c>
      <c r="J10" s="5">
        <f t="shared" si="0"/>
        <v>21425</v>
      </c>
    </row>
    <row r="11" spans="1:10" x14ac:dyDescent="0.25">
      <c r="A11" s="27">
        <f>_xlfn.XLOOKUP(Tabla1[[#This Row],[Descripcion]],Costos!A:A,Costos!B:B)</f>
        <v>57.20105058</v>
      </c>
      <c r="B11" s="2">
        <v>46023</v>
      </c>
      <c r="C11" t="s">
        <v>13</v>
      </c>
      <c r="D11">
        <v>57.20105058</v>
      </c>
      <c r="E11" s="5">
        <f>13584+20</f>
        <v>13604</v>
      </c>
      <c r="F11" s="5">
        <v>0</v>
      </c>
      <c r="G11" s="5">
        <v>0</v>
      </c>
      <c r="H11" s="5">
        <v>1279</v>
      </c>
      <c r="I11" s="5">
        <v>0</v>
      </c>
      <c r="J11" s="5">
        <f t="shared" si="0"/>
        <v>12325</v>
      </c>
    </row>
    <row r="12" spans="1:10" x14ac:dyDescent="0.25">
      <c r="A12" s="27">
        <f>_xlfn.XLOOKUP(Tabla1[[#This Row],[Descripcion]],Costos!A:A,Costos!B:B)</f>
        <v>60.761000000000003</v>
      </c>
      <c r="B12" s="2">
        <v>46023</v>
      </c>
      <c r="C12" t="s">
        <v>14</v>
      </c>
      <c r="D12">
        <v>60.761000000000003</v>
      </c>
      <c r="E12" s="5">
        <f>8741+20+462</f>
        <v>9223</v>
      </c>
      <c r="F12" s="5">
        <v>0</v>
      </c>
      <c r="G12" s="5">
        <v>0</v>
      </c>
      <c r="H12" s="5">
        <v>320</v>
      </c>
      <c r="I12" s="5">
        <v>0</v>
      </c>
      <c r="J12" s="5">
        <f t="shared" si="0"/>
        <v>8903</v>
      </c>
    </row>
    <row r="13" spans="1:10" x14ac:dyDescent="0.25">
      <c r="A13" s="27">
        <f>_xlfn.XLOOKUP(Tabla1[[#This Row],[Descripcion]],Costos!A:A,Costos!B:B)</f>
        <v>465.80610001000002</v>
      </c>
      <c r="B13" s="2">
        <v>46023</v>
      </c>
      <c r="C13" s="7" t="s">
        <v>15</v>
      </c>
      <c r="D13">
        <v>465.80610001000002</v>
      </c>
      <c r="E13" s="5">
        <f>5540+177</f>
        <v>5717</v>
      </c>
      <c r="F13" s="5">
        <v>0</v>
      </c>
      <c r="G13" s="5">
        <v>0</v>
      </c>
      <c r="H13" s="5">
        <v>72</v>
      </c>
      <c r="I13" s="5">
        <v>0</v>
      </c>
      <c r="J13" s="5">
        <f t="shared" si="0"/>
        <v>5645</v>
      </c>
    </row>
    <row r="14" spans="1:10" x14ac:dyDescent="0.25">
      <c r="A14" s="27">
        <f>_xlfn.XLOOKUP(Tabla1[[#This Row],[Descripcion]],Costos!A:A,Costos!B:B)</f>
        <v>517.49819996999997</v>
      </c>
      <c r="B14" s="2">
        <v>46023</v>
      </c>
      <c r="C14" t="s">
        <v>6</v>
      </c>
      <c r="D14">
        <v>517.49819996999997</v>
      </c>
      <c r="E14" s="5">
        <v>7</v>
      </c>
      <c r="F14" s="5">
        <v>0</v>
      </c>
      <c r="G14" s="5">
        <v>3</v>
      </c>
      <c r="H14" s="5">
        <v>10</v>
      </c>
      <c r="I14" s="5">
        <v>0</v>
      </c>
      <c r="J14" s="5">
        <f t="shared" si="0"/>
        <v>0</v>
      </c>
    </row>
    <row r="15" spans="1:10" x14ac:dyDescent="0.25">
      <c r="A15" s="27">
        <f>_xlfn.XLOOKUP(Tabla1[[#This Row],[Descripcion]],Costos!A:A,Costos!B:B)</f>
        <v>154.16364960000001</v>
      </c>
      <c r="B15" s="2">
        <v>46023</v>
      </c>
      <c r="C15" t="s">
        <v>16</v>
      </c>
      <c r="D15">
        <v>154.16364960000001</v>
      </c>
      <c r="E15" s="5">
        <v>881</v>
      </c>
      <c r="F15" s="5">
        <v>0</v>
      </c>
      <c r="G15" s="5">
        <v>0</v>
      </c>
      <c r="H15" s="5">
        <v>14</v>
      </c>
      <c r="I15" s="5">
        <v>0</v>
      </c>
      <c r="J15" s="5">
        <f t="shared" si="0"/>
        <v>867</v>
      </c>
    </row>
    <row r="16" spans="1:10" x14ac:dyDescent="0.25">
      <c r="A16" s="27">
        <f>_xlfn.XLOOKUP(Tabla1[[#This Row],[Descripcion]],Costos!A:A,Costos!B:B)</f>
        <v>147.57659999000001</v>
      </c>
      <c r="B16" s="2">
        <v>46023</v>
      </c>
      <c r="C16" t="s">
        <v>17</v>
      </c>
      <c r="D16">
        <v>147.57659999000001</v>
      </c>
      <c r="E16" s="5">
        <f>720+114</f>
        <v>834</v>
      </c>
      <c r="F16" s="5">
        <v>0</v>
      </c>
      <c r="G16" s="5">
        <v>0</v>
      </c>
      <c r="H16" s="5">
        <v>24</v>
      </c>
      <c r="I16" s="5">
        <v>0</v>
      </c>
      <c r="J16" s="5">
        <f t="shared" si="0"/>
        <v>810</v>
      </c>
    </row>
    <row r="17" spans="1:10" x14ac:dyDescent="0.25">
      <c r="A17" s="27">
        <f>_xlfn.XLOOKUP(Tabla1[[#This Row],[Descripcion]],Costos!A:A,Costos!B:B)</f>
        <v>147.57659999000001</v>
      </c>
      <c r="B17" s="2">
        <v>46023</v>
      </c>
      <c r="C17" t="s">
        <v>3</v>
      </c>
      <c r="D17">
        <v>147.57659999000001</v>
      </c>
      <c r="E17" s="5">
        <f>563+103</f>
        <v>666</v>
      </c>
      <c r="F17" s="5">
        <v>0</v>
      </c>
      <c r="G17" s="5">
        <v>0</v>
      </c>
      <c r="H17" s="5">
        <v>34</v>
      </c>
      <c r="I17" s="5">
        <v>0</v>
      </c>
      <c r="J17" s="5">
        <f t="shared" si="0"/>
        <v>632</v>
      </c>
    </row>
    <row r="18" spans="1:10" x14ac:dyDescent="0.25">
      <c r="A18" s="27">
        <f>_xlfn.XLOOKUP(Tabla1[[#This Row],[Descripcion]],Costos!A:A,Costos!B:B)</f>
        <v>170.34</v>
      </c>
      <c r="B18" s="2">
        <v>46023</v>
      </c>
      <c r="C18" t="s">
        <v>18</v>
      </c>
      <c r="D18">
        <v>170.34</v>
      </c>
      <c r="E18" s="5">
        <v>1475</v>
      </c>
      <c r="F18" s="5">
        <v>0</v>
      </c>
      <c r="G18" s="5">
        <v>0</v>
      </c>
      <c r="H18" s="5">
        <v>15</v>
      </c>
      <c r="I18" s="5">
        <v>0</v>
      </c>
      <c r="J18" s="5">
        <f t="shared" si="0"/>
        <v>1460</v>
      </c>
    </row>
    <row r="19" spans="1:10" x14ac:dyDescent="0.25">
      <c r="A19" s="27">
        <f>_xlfn.XLOOKUP(Tabla1[[#This Row],[Descripcion]],Costos!A:A,Costos!B:B)</f>
        <v>434.24951347000001</v>
      </c>
      <c r="B19" s="2">
        <v>46023</v>
      </c>
      <c r="C19" t="s">
        <v>19</v>
      </c>
      <c r="D19">
        <v>434.24951347000001</v>
      </c>
      <c r="E19" s="5">
        <v>4237</v>
      </c>
      <c r="F19" s="5">
        <v>0</v>
      </c>
      <c r="G19" s="5">
        <v>0</v>
      </c>
      <c r="H19" s="5">
        <v>744</v>
      </c>
      <c r="I19" s="5">
        <v>0</v>
      </c>
      <c r="J19" s="5">
        <f t="shared" si="0"/>
        <v>3493</v>
      </c>
    </row>
    <row r="20" spans="1:10" x14ac:dyDescent="0.25">
      <c r="A20" s="28">
        <v>441.31310000000002</v>
      </c>
      <c r="B20" s="2">
        <v>46023</v>
      </c>
      <c r="C20" t="s">
        <v>28</v>
      </c>
      <c r="D20">
        <v>441.31310000000002</v>
      </c>
      <c r="E20" s="5">
        <f>6305+88</f>
        <v>6393</v>
      </c>
      <c r="F20" s="5">
        <v>0</v>
      </c>
      <c r="G20" s="5">
        <v>0</v>
      </c>
      <c r="H20" s="5">
        <v>480</v>
      </c>
      <c r="I20" s="5">
        <v>0</v>
      </c>
      <c r="J20" s="5">
        <f t="shared" si="0"/>
        <v>5913</v>
      </c>
    </row>
    <row r="21" spans="1:10" x14ac:dyDescent="0.25">
      <c r="A21" s="27">
        <f>_xlfn.XLOOKUP(Tabla1[[#This Row],[Descripcion]],Costos!A:A,Costos!B:B)</f>
        <v>17.9445254</v>
      </c>
      <c r="B21" s="2">
        <v>46023</v>
      </c>
      <c r="C21" t="s">
        <v>20</v>
      </c>
      <c r="D21">
        <v>17.9445254</v>
      </c>
      <c r="E21" s="5">
        <f>199437+20</f>
        <v>199457</v>
      </c>
      <c r="F21" s="5">
        <v>0</v>
      </c>
      <c r="G21" s="5">
        <v>0</v>
      </c>
      <c r="H21" s="5">
        <v>141</v>
      </c>
      <c r="I21" s="5">
        <v>0</v>
      </c>
      <c r="J21" s="5">
        <f t="shared" si="0"/>
        <v>199316</v>
      </c>
    </row>
    <row r="22" spans="1:10" x14ac:dyDescent="0.25">
      <c r="A22" s="27">
        <f>_xlfn.XLOOKUP(Tabla1[[#This Row],[Descripcion]],Costos!A:A,Costos!B:B)</f>
        <v>57.19</v>
      </c>
      <c r="B22" s="2">
        <v>46023</v>
      </c>
      <c r="C22" t="s">
        <v>21</v>
      </c>
      <c r="D22">
        <v>57.19</v>
      </c>
      <c r="E22" s="5">
        <f>6999+20+469</f>
        <v>7488</v>
      </c>
      <c r="F22" s="5">
        <v>0</v>
      </c>
      <c r="G22" s="5">
        <v>0</v>
      </c>
      <c r="H22" s="5">
        <v>91</v>
      </c>
      <c r="I22" s="5">
        <v>0</v>
      </c>
      <c r="J22" s="5">
        <f t="shared" si="0"/>
        <v>7397</v>
      </c>
    </row>
    <row r="23" spans="1:10" x14ac:dyDescent="0.25">
      <c r="A23" s="27">
        <f>_xlfn.XLOOKUP(Tabla1[[#This Row],[Descripcion]],Costos!A:A,Costos!B:B)</f>
        <v>417.75261008000001</v>
      </c>
      <c r="B23" s="2">
        <v>46023</v>
      </c>
      <c r="C23" t="s">
        <v>22</v>
      </c>
      <c r="D23">
        <v>417.75261008000001</v>
      </c>
      <c r="E23" s="5">
        <v>1477</v>
      </c>
      <c r="F23" s="5">
        <v>0</v>
      </c>
      <c r="G23" s="5">
        <v>0</v>
      </c>
      <c r="H23" s="5">
        <v>6</v>
      </c>
      <c r="I23" s="5">
        <v>0</v>
      </c>
      <c r="J23" s="5">
        <f t="shared" si="0"/>
        <v>1471</v>
      </c>
    </row>
    <row r="24" spans="1:10" x14ac:dyDescent="0.25">
      <c r="A24" s="27">
        <f>_xlfn.XLOOKUP(Tabla1[[#This Row],[Descripcion]],Costos!A:A,Costos!B:B)</f>
        <v>417.75261008000001</v>
      </c>
      <c r="B24" s="2">
        <v>46023</v>
      </c>
      <c r="C24" t="s">
        <v>23</v>
      </c>
      <c r="D24">
        <v>417.75261008000001</v>
      </c>
      <c r="E24" s="5">
        <v>1981</v>
      </c>
      <c r="F24" s="5">
        <v>0</v>
      </c>
      <c r="G24" s="5">
        <v>0</v>
      </c>
      <c r="H24" s="5">
        <v>314</v>
      </c>
      <c r="I24" s="5">
        <v>0</v>
      </c>
      <c r="J24" s="5">
        <f t="shared" si="0"/>
        <v>1667</v>
      </c>
    </row>
    <row r="25" spans="1:10" x14ac:dyDescent="0.25">
      <c r="A25" s="27">
        <f>_xlfn.XLOOKUP(Tabla1[[#This Row],[Descripcion]],Costos!A:A,Costos!B:B)</f>
        <v>417.75261008000001</v>
      </c>
      <c r="B25" s="2">
        <v>46023</v>
      </c>
      <c r="C25" t="s">
        <v>24</v>
      </c>
      <c r="D25">
        <v>417.75261008000001</v>
      </c>
      <c r="E25" s="5">
        <v>1481</v>
      </c>
      <c r="F25" s="5">
        <v>0</v>
      </c>
      <c r="G25" s="5">
        <v>0</v>
      </c>
      <c r="H25" s="5">
        <v>17</v>
      </c>
      <c r="I25" s="5">
        <v>0</v>
      </c>
      <c r="J25" s="5">
        <f t="shared" si="0"/>
        <v>1464</v>
      </c>
    </row>
    <row r="26" spans="1:10" x14ac:dyDescent="0.25">
      <c r="A26" s="27">
        <f>_xlfn.XLOOKUP(Tabla1[[#This Row],[Descripcion]],Costos!A:A,Costos!B:B)</f>
        <v>417.75261008000001</v>
      </c>
      <c r="B26" s="2">
        <v>46023</v>
      </c>
      <c r="C26" t="s">
        <v>25</v>
      </c>
      <c r="D26">
        <v>417.75261008000001</v>
      </c>
      <c r="E26" s="5">
        <v>1465</v>
      </c>
      <c r="F26" s="5">
        <v>0</v>
      </c>
      <c r="G26" s="5">
        <v>0</v>
      </c>
      <c r="H26" s="5">
        <v>3</v>
      </c>
      <c r="I26" s="5">
        <v>0</v>
      </c>
      <c r="J26" s="5">
        <f t="shared" si="0"/>
        <v>1462</v>
      </c>
    </row>
    <row r="27" spans="1:10" x14ac:dyDescent="0.25">
      <c r="A27" s="27">
        <f>_xlfn.XLOOKUP(Tabla1[[#This Row],[Descripcion]],Costos!A:A,Costos!B:B)</f>
        <v>7.69</v>
      </c>
      <c r="B27" s="2">
        <v>46023</v>
      </c>
      <c r="C27" t="s">
        <v>33</v>
      </c>
      <c r="D27">
        <v>7.69</v>
      </c>
      <c r="E27" s="5">
        <v>61944</v>
      </c>
      <c r="F27" s="5">
        <v>0</v>
      </c>
      <c r="G27" s="5">
        <v>0</v>
      </c>
      <c r="H27" s="5">
        <v>0</v>
      </c>
      <c r="I27" s="5">
        <v>0</v>
      </c>
      <c r="J27" s="5">
        <f t="shared" si="0"/>
        <v>61944</v>
      </c>
    </row>
    <row r="28" spans="1:10" x14ac:dyDescent="0.25">
      <c r="A28" s="27">
        <f>_xlfn.XLOOKUP(Tabla1[[#This Row],[Descripcion]],Costos!A:A,Costos!B:B)</f>
        <v>7.69</v>
      </c>
      <c r="B28" s="2">
        <v>46023</v>
      </c>
      <c r="C28" t="s">
        <v>26</v>
      </c>
      <c r="D28">
        <v>7.69</v>
      </c>
      <c r="E28" s="5">
        <v>104467</v>
      </c>
      <c r="F28" s="5">
        <v>0</v>
      </c>
      <c r="G28" s="5">
        <v>0</v>
      </c>
      <c r="H28" s="5">
        <v>120</v>
      </c>
      <c r="I28" s="5">
        <v>0</v>
      </c>
      <c r="J28" s="5">
        <f t="shared" si="0"/>
        <v>104347</v>
      </c>
    </row>
    <row r="29" spans="1:10" x14ac:dyDescent="0.25">
      <c r="A29" s="27">
        <f>_xlfn.XLOOKUP(Tabla1[[#This Row],[Descripcion]],Costos!A:A,Costos!B:B)</f>
        <v>7.69</v>
      </c>
      <c r="B29" s="2">
        <v>46023</v>
      </c>
      <c r="C29" t="s">
        <v>29</v>
      </c>
      <c r="D29">
        <v>7.69</v>
      </c>
      <c r="E29" s="5">
        <v>98208</v>
      </c>
      <c r="F29" s="5">
        <v>0</v>
      </c>
      <c r="G29" s="5">
        <v>0</v>
      </c>
      <c r="H29" s="5">
        <v>0</v>
      </c>
      <c r="I29" s="5">
        <v>0</v>
      </c>
      <c r="J29" s="5">
        <f t="shared" si="0"/>
        <v>98208</v>
      </c>
    </row>
    <row r="30" spans="1:10" x14ac:dyDescent="0.25">
      <c r="A30" s="27">
        <f>_xlfn.XLOOKUP(Tabla1[[#This Row],[Descripcion]],Costos!A:A,Costos!B:B)</f>
        <v>184.56</v>
      </c>
      <c r="B30" s="2">
        <v>46023</v>
      </c>
      <c r="C30" t="s">
        <v>34</v>
      </c>
      <c r="D30">
        <v>184.56</v>
      </c>
      <c r="E30" s="5">
        <v>2072</v>
      </c>
      <c r="F30" s="5">
        <v>0</v>
      </c>
      <c r="G30" s="5">
        <v>0</v>
      </c>
      <c r="H30" s="5">
        <v>0</v>
      </c>
      <c r="I30" s="5">
        <v>0</v>
      </c>
      <c r="J30" s="5">
        <f t="shared" si="0"/>
        <v>2072</v>
      </c>
    </row>
    <row r="31" spans="1:10" x14ac:dyDescent="0.25">
      <c r="A31" s="27">
        <f>_xlfn.XLOOKUP(Tabla1[[#This Row],[Descripcion]],Costos!A:A,Costos!B:B)</f>
        <v>1086.7487000399999</v>
      </c>
      <c r="B31" s="2">
        <v>46054</v>
      </c>
      <c r="C31" t="s">
        <v>7</v>
      </c>
      <c r="D31">
        <v>1086.7487000399999</v>
      </c>
      <c r="E31" s="5">
        <v>14</v>
      </c>
      <c r="F31" s="5">
        <v>0</v>
      </c>
      <c r="G31" s="5">
        <v>0</v>
      </c>
      <c r="H31" s="5">
        <v>2</v>
      </c>
      <c r="I31" s="5">
        <v>0</v>
      </c>
      <c r="J31" s="5">
        <f t="shared" si="0"/>
        <v>12</v>
      </c>
    </row>
    <row r="32" spans="1:10" x14ac:dyDescent="0.25">
      <c r="A32" s="27">
        <f>_xlfn.XLOOKUP(Tabla1[[#This Row],[Descripcion]],Costos!A:A,Costos!B:B)</f>
        <v>349.31270000000001</v>
      </c>
      <c r="B32" s="2">
        <v>46054</v>
      </c>
      <c r="C32" t="s">
        <v>8</v>
      </c>
      <c r="D32">
        <v>349.31270000000001</v>
      </c>
      <c r="E32" s="5">
        <v>523</v>
      </c>
      <c r="F32" s="5">
        <v>0</v>
      </c>
      <c r="G32" s="5">
        <v>0</v>
      </c>
      <c r="H32" s="5">
        <v>0</v>
      </c>
      <c r="I32" s="5">
        <v>0</v>
      </c>
      <c r="J32" s="5">
        <f t="shared" si="0"/>
        <v>523</v>
      </c>
    </row>
    <row r="33" spans="1:10" x14ac:dyDescent="0.25">
      <c r="A33" s="27">
        <f>_xlfn.XLOOKUP(Tabla1[[#This Row],[Descripcion]],Costos!A:A,Costos!B:B)</f>
        <v>447.78148077999998</v>
      </c>
      <c r="B33" s="2">
        <v>46054</v>
      </c>
      <c r="C33" t="s">
        <v>9</v>
      </c>
      <c r="D33">
        <v>447.78148077999998</v>
      </c>
      <c r="E33" s="5">
        <v>11317</v>
      </c>
      <c r="F33" s="5">
        <v>0</v>
      </c>
      <c r="G33" s="5">
        <v>0</v>
      </c>
      <c r="H33" s="5">
        <v>76</v>
      </c>
      <c r="I33" s="5">
        <v>0</v>
      </c>
      <c r="J33" s="5">
        <f t="shared" si="0"/>
        <v>11241</v>
      </c>
    </row>
    <row r="34" spans="1:10" x14ac:dyDescent="0.25">
      <c r="A34" s="27">
        <f>_xlfn.XLOOKUP(Tabla1[[#This Row],[Descripcion]],Costos!A:A,Costos!B:B)</f>
        <v>451.39645788000001</v>
      </c>
      <c r="B34" s="2">
        <v>46054</v>
      </c>
      <c r="C34" t="s">
        <v>10</v>
      </c>
      <c r="D34">
        <v>451.39645788000001</v>
      </c>
      <c r="E34" s="5">
        <v>2927</v>
      </c>
      <c r="F34" s="5">
        <v>0</v>
      </c>
      <c r="G34" s="5">
        <v>0</v>
      </c>
      <c r="H34" s="5">
        <v>460</v>
      </c>
      <c r="I34" s="5">
        <v>0</v>
      </c>
      <c r="J34" s="5">
        <f t="shared" si="0"/>
        <v>2467</v>
      </c>
    </row>
    <row r="35" spans="1:10" x14ac:dyDescent="0.25">
      <c r="A35" s="27">
        <f>_xlfn.XLOOKUP(Tabla1[[#This Row],[Descripcion]],Costos!A:A,Costos!B:B)</f>
        <v>58.319144649999998</v>
      </c>
      <c r="B35" s="2">
        <v>46054</v>
      </c>
      <c r="C35" t="s">
        <v>11</v>
      </c>
      <c r="D35">
        <v>58.319144649999998</v>
      </c>
      <c r="E35" s="5">
        <v>21046</v>
      </c>
      <c r="F35" s="5">
        <v>0</v>
      </c>
      <c r="G35" s="5">
        <v>0</v>
      </c>
      <c r="H35" s="5">
        <v>370</v>
      </c>
      <c r="I35" s="5">
        <v>0</v>
      </c>
      <c r="J35" s="5">
        <f t="shared" si="0"/>
        <v>20676</v>
      </c>
    </row>
    <row r="36" spans="1:10" x14ac:dyDescent="0.25">
      <c r="A36" s="27">
        <f>_xlfn.XLOOKUP(Tabla1[[#This Row],[Descripcion]],Costos!A:A,Costos!B:B)</f>
        <v>58.065091809999998</v>
      </c>
      <c r="B36" s="2">
        <v>46054</v>
      </c>
      <c r="C36" t="s">
        <v>12</v>
      </c>
      <c r="D36">
        <v>58.065091809999998</v>
      </c>
      <c r="E36" s="5">
        <v>21425</v>
      </c>
      <c r="F36" s="5">
        <v>0</v>
      </c>
      <c r="G36" s="5">
        <v>0</v>
      </c>
      <c r="H36" s="5">
        <v>374</v>
      </c>
      <c r="I36" s="5">
        <v>0</v>
      </c>
      <c r="J36" s="5">
        <f t="shared" si="0"/>
        <v>21051</v>
      </c>
    </row>
    <row r="37" spans="1:10" x14ac:dyDescent="0.25">
      <c r="A37" s="27">
        <f>_xlfn.XLOOKUP(Tabla1[[#This Row],[Descripcion]],Costos!A:A,Costos!B:B)</f>
        <v>57.20105058</v>
      </c>
      <c r="B37" s="2">
        <v>46054</v>
      </c>
      <c r="C37" t="s">
        <v>13</v>
      </c>
      <c r="D37">
        <v>57.20105058</v>
      </c>
      <c r="E37" s="5">
        <v>12325</v>
      </c>
      <c r="F37" s="5">
        <v>0</v>
      </c>
      <c r="G37" s="5">
        <v>0</v>
      </c>
      <c r="H37" s="5">
        <v>2183</v>
      </c>
      <c r="I37" s="5">
        <v>0</v>
      </c>
      <c r="J37" s="5">
        <f t="shared" si="0"/>
        <v>10142</v>
      </c>
    </row>
    <row r="38" spans="1:10" x14ac:dyDescent="0.25">
      <c r="A38" s="27">
        <f>_xlfn.XLOOKUP(Tabla1[[#This Row],[Descripcion]],Costos!A:A,Costos!B:B)</f>
        <v>60.761000000000003</v>
      </c>
      <c r="B38" s="2">
        <v>46054</v>
      </c>
      <c r="C38" t="s">
        <v>14</v>
      </c>
      <c r="D38">
        <v>60.761000000000003</v>
      </c>
      <c r="E38" s="5">
        <v>8903</v>
      </c>
      <c r="F38" s="5">
        <v>0</v>
      </c>
      <c r="G38" s="5">
        <v>0</v>
      </c>
      <c r="H38" s="5">
        <v>35</v>
      </c>
      <c r="I38" s="5">
        <v>0</v>
      </c>
      <c r="J38" s="5">
        <f t="shared" si="0"/>
        <v>8868</v>
      </c>
    </row>
    <row r="39" spans="1:10" x14ac:dyDescent="0.25">
      <c r="A39" s="27">
        <f>_xlfn.XLOOKUP(Tabla1[[#This Row],[Descripcion]],Costos!A:A,Costos!B:B)</f>
        <v>465.80610001000002</v>
      </c>
      <c r="B39" s="2">
        <v>46054</v>
      </c>
      <c r="C39" t="s">
        <v>15</v>
      </c>
      <c r="D39">
        <v>465.80610001000002</v>
      </c>
      <c r="E39" s="5">
        <v>5645</v>
      </c>
      <c r="F39" s="5">
        <v>0</v>
      </c>
      <c r="G39" s="5">
        <v>2</v>
      </c>
      <c r="H39" s="5">
        <v>29</v>
      </c>
      <c r="I39" s="5">
        <v>0</v>
      </c>
      <c r="J39" s="5">
        <f t="shared" si="0"/>
        <v>5618</v>
      </c>
    </row>
    <row r="40" spans="1:10" x14ac:dyDescent="0.25">
      <c r="A40" s="27">
        <f>_xlfn.XLOOKUP(Tabla1[[#This Row],[Descripcion]],Costos!A:A,Costos!B:B)</f>
        <v>517.49819996999997</v>
      </c>
      <c r="B40" s="2">
        <v>46054</v>
      </c>
      <c r="C40" t="s">
        <v>6</v>
      </c>
      <c r="D40">
        <v>517.49819996999997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f t="shared" si="0"/>
        <v>0</v>
      </c>
    </row>
    <row r="41" spans="1:10" x14ac:dyDescent="0.25">
      <c r="A41" s="27">
        <f>_xlfn.XLOOKUP(Tabla1[[#This Row],[Descripcion]],Costos!A:A,Costos!B:B)</f>
        <v>154.16364960000001</v>
      </c>
      <c r="B41" s="2">
        <v>46054</v>
      </c>
      <c r="C41" t="s">
        <v>16</v>
      </c>
      <c r="D41">
        <v>154.16364960000001</v>
      </c>
      <c r="E41" s="5">
        <v>867</v>
      </c>
      <c r="F41" s="5">
        <v>0</v>
      </c>
      <c r="G41" s="5">
        <v>0</v>
      </c>
      <c r="H41" s="5">
        <v>5</v>
      </c>
      <c r="I41" s="5">
        <v>0</v>
      </c>
      <c r="J41" s="5">
        <f t="shared" si="0"/>
        <v>862</v>
      </c>
    </row>
    <row r="42" spans="1:10" x14ac:dyDescent="0.25">
      <c r="A42" s="27">
        <f>_xlfn.XLOOKUP(Tabla1[[#This Row],[Descripcion]],Costos!A:A,Costos!B:B)</f>
        <v>147.57659999000001</v>
      </c>
      <c r="B42" s="2">
        <v>46054</v>
      </c>
      <c r="C42" t="s">
        <v>17</v>
      </c>
      <c r="D42">
        <v>147.57659999000001</v>
      </c>
      <c r="E42" s="5">
        <v>810</v>
      </c>
      <c r="F42" s="5">
        <v>0</v>
      </c>
      <c r="G42" s="5">
        <v>0</v>
      </c>
      <c r="H42" s="5">
        <v>10</v>
      </c>
      <c r="I42" s="5">
        <v>0</v>
      </c>
      <c r="J42" s="5">
        <f t="shared" si="0"/>
        <v>800</v>
      </c>
    </row>
    <row r="43" spans="1:10" x14ac:dyDescent="0.25">
      <c r="A43" s="27">
        <f>_xlfn.XLOOKUP(Tabla1[[#This Row],[Descripcion]],Costos!A:A,Costos!B:B)</f>
        <v>147.57659999000001</v>
      </c>
      <c r="B43" s="2">
        <v>46054</v>
      </c>
      <c r="C43" t="s">
        <v>3</v>
      </c>
      <c r="D43">
        <v>147.57659999000001</v>
      </c>
      <c r="E43" s="5">
        <v>632</v>
      </c>
      <c r="F43" s="5">
        <v>0</v>
      </c>
      <c r="G43" s="5">
        <v>0</v>
      </c>
      <c r="H43" s="5">
        <v>17</v>
      </c>
      <c r="I43" s="5">
        <v>0</v>
      </c>
      <c r="J43" s="5">
        <f t="shared" si="0"/>
        <v>615</v>
      </c>
    </row>
    <row r="44" spans="1:10" x14ac:dyDescent="0.25">
      <c r="A44" s="27">
        <f>_xlfn.XLOOKUP(Tabla1[[#This Row],[Descripcion]],Costos!A:A,Costos!B:B)</f>
        <v>170.34</v>
      </c>
      <c r="B44" s="2">
        <v>46054</v>
      </c>
      <c r="C44" t="s">
        <v>18</v>
      </c>
      <c r="D44">
        <v>170.34</v>
      </c>
      <c r="E44" s="5">
        <v>1460</v>
      </c>
      <c r="F44" s="5">
        <v>0</v>
      </c>
      <c r="G44" s="5">
        <v>0</v>
      </c>
      <c r="H44" s="5">
        <v>2</v>
      </c>
      <c r="I44" s="5">
        <v>0</v>
      </c>
      <c r="J44" s="5">
        <f t="shared" si="0"/>
        <v>1458</v>
      </c>
    </row>
    <row r="45" spans="1:10" x14ac:dyDescent="0.25">
      <c r="A45" s="27">
        <f>_xlfn.XLOOKUP(Tabla1[[#This Row],[Descripcion]],Costos!A:A,Costos!B:B)</f>
        <v>434.24951347000001</v>
      </c>
      <c r="B45" s="2">
        <v>46054</v>
      </c>
      <c r="C45" t="s">
        <v>19</v>
      </c>
      <c r="D45">
        <v>434.24951347000001</v>
      </c>
      <c r="E45" s="5">
        <v>3493</v>
      </c>
      <c r="F45" s="5">
        <v>0</v>
      </c>
      <c r="G45" s="5">
        <v>0</v>
      </c>
      <c r="H45" s="5">
        <v>604</v>
      </c>
      <c r="I45" s="5">
        <v>0</v>
      </c>
      <c r="J45" s="5">
        <f t="shared" si="0"/>
        <v>2889</v>
      </c>
    </row>
    <row r="46" spans="1:10" x14ac:dyDescent="0.25">
      <c r="A46" s="27">
        <f>_xlfn.XLOOKUP(Tabla1[[#This Row],[Descripcion]],Costos!A:A,Costos!B:B)</f>
        <v>441.31310000000002</v>
      </c>
      <c r="B46" s="2">
        <v>46054</v>
      </c>
      <c r="C46" t="s">
        <v>27</v>
      </c>
      <c r="D46">
        <v>441.31310000000002</v>
      </c>
      <c r="E46" s="5">
        <v>5913</v>
      </c>
      <c r="F46" s="5">
        <v>0</v>
      </c>
      <c r="G46" s="5">
        <v>0</v>
      </c>
      <c r="H46" s="5">
        <v>135</v>
      </c>
      <c r="I46" s="5">
        <v>0</v>
      </c>
      <c r="J46" s="5">
        <f t="shared" si="0"/>
        <v>5778</v>
      </c>
    </row>
    <row r="47" spans="1:10" x14ac:dyDescent="0.25">
      <c r="A47" s="27">
        <f>_xlfn.XLOOKUP(Tabla1[[#This Row],[Descripcion]],Costos!A:A,Costos!B:B)</f>
        <v>17.9445254</v>
      </c>
      <c r="B47" s="2">
        <v>46054</v>
      </c>
      <c r="C47" t="s">
        <v>20</v>
      </c>
      <c r="D47">
        <v>17.9445254</v>
      </c>
      <c r="E47" s="5">
        <v>199316</v>
      </c>
      <c r="F47" s="5">
        <v>0</v>
      </c>
      <c r="G47" s="5">
        <v>0</v>
      </c>
      <c r="H47" s="5">
        <v>331</v>
      </c>
      <c r="I47" s="5">
        <v>0</v>
      </c>
      <c r="J47" s="5">
        <f t="shared" si="0"/>
        <v>198985</v>
      </c>
    </row>
    <row r="48" spans="1:10" x14ac:dyDescent="0.25">
      <c r="A48" s="27">
        <f>_xlfn.XLOOKUP(Tabla1[[#This Row],[Descripcion]],Costos!A:A,Costos!B:B)</f>
        <v>57.19</v>
      </c>
      <c r="B48" s="2">
        <v>46054</v>
      </c>
      <c r="C48" t="s">
        <v>21</v>
      </c>
      <c r="D48">
        <v>57.19</v>
      </c>
      <c r="E48" s="5">
        <v>7397</v>
      </c>
      <c r="F48" s="5">
        <v>0</v>
      </c>
      <c r="G48" s="5">
        <v>0</v>
      </c>
      <c r="H48" s="5">
        <v>40</v>
      </c>
      <c r="I48" s="5">
        <v>0</v>
      </c>
      <c r="J48" s="5">
        <f t="shared" si="0"/>
        <v>7357</v>
      </c>
    </row>
    <row r="49" spans="1:10" x14ac:dyDescent="0.25">
      <c r="A49" s="27">
        <f>_xlfn.XLOOKUP(Tabla1[[#This Row],[Descripcion]],Costos!A:A,Costos!B:B)</f>
        <v>417.75261008000001</v>
      </c>
      <c r="B49" s="2">
        <v>46054</v>
      </c>
      <c r="C49" t="s">
        <v>22</v>
      </c>
      <c r="D49">
        <v>417.75261008000001</v>
      </c>
      <c r="E49" s="5">
        <v>1471</v>
      </c>
      <c r="F49" s="5">
        <v>0</v>
      </c>
      <c r="G49" s="5">
        <v>0</v>
      </c>
      <c r="H49" s="5">
        <v>10</v>
      </c>
      <c r="I49" s="5">
        <v>0</v>
      </c>
      <c r="J49" s="5">
        <f t="shared" si="0"/>
        <v>1461</v>
      </c>
    </row>
    <row r="50" spans="1:10" x14ac:dyDescent="0.25">
      <c r="A50" s="27">
        <f>_xlfn.XLOOKUP(Tabla1[[#This Row],[Descripcion]],Costos!A:A,Costos!B:B)</f>
        <v>417.75261008000001</v>
      </c>
      <c r="B50" s="2">
        <v>46054</v>
      </c>
      <c r="C50" t="s">
        <v>23</v>
      </c>
      <c r="D50">
        <v>417.75261008000001</v>
      </c>
      <c r="E50" s="5">
        <v>1667</v>
      </c>
      <c r="F50" s="5">
        <v>0</v>
      </c>
      <c r="G50" s="5">
        <v>0</v>
      </c>
      <c r="H50" s="5">
        <v>52</v>
      </c>
      <c r="I50" s="5">
        <v>0</v>
      </c>
      <c r="J50" s="5">
        <f t="shared" si="0"/>
        <v>1615</v>
      </c>
    </row>
    <row r="51" spans="1:10" x14ac:dyDescent="0.25">
      <c r="A51" s="27">
        <f>_xlfn.XLOOKUP(Tabla1[[#This Row],[Descripcion]],Costos!A:A,Costos!B:B)</f>
        <v>417.75261008000001</v>
      </c>
      <c r="B51" s="2">
        <v>46054</v>
      </c>
      <c r="C51" t="s">
        <v>24</v>
      </c>
      <c r="D51">
        <v>417.75261008000001</v>
      </c>
      <c r="E51" s="5">
        <v>1464</v>
      </c>
      <c r="F51" s="5">
        <v>0</v>
      </c>
      <c r="G51" s="5">
        <v>0</v>
      </c>
      <c r="H51" s="5">
        <v>19</v>
      </c>
      <c r="I51" s="5">
        <v>0</v>
      </c>
      <c r="J51" s="5">
        <f t="shared" si="0"/>
        <v>1445</v>
      </c>
    </row>
    <row r="52" spans="1:10" x14ac:dyDescent="0.25">
      <c r="A52" s="27">
        <f>_xlfn.XLOOKUP(Tabla1[[#This Row],[Descripcion]],Costos!A:A,Costos!B:B)</f>
        <v>417.75261008000001</v>
      </c>
      <c r="B52" s="2">
        <v>46054</v>
      </c>
      <c r="C52" t="s">
        <v>25</v>
      </c>
      <c r="D52">
        <v>417.75261008000001</v>
      </c>
      <c r="E52" s="5">
        <v>1462</v>
      </c>
      <c r="F52" s="5">
        <v>0</v>
      </c>
      <c r="G52" s="5">
        <v>0</v>
      </c>
      <c r="H52" s="5">
        <v>17</v>
      </c>
      <c r="I52" s="5">
        <v>0</v>
      </c>
      <c r="J52" s="5">
        <f t="shared" si="0"/>
        <v>1445</v>
      </c>
    </row>
    <row r="53" spans="1:10" x14ac:dyDescent="0.25">
      <c r="A53" s="27">
        <f>_xlfn.XLOOKUP(Tabla1[[#This Row],[Descripcion]],Costos!A:A,Costos!B:B)</f>
        <v>7.69</v>
      </c>
      <c r="B53" s="2">
        <v>46054</v>
      </c>
      <c r="C53" t="s">
        <v>33</v>
      </c>
      <c r="D53">
        <v>7.69</v>
      </c>
      <c r="E53" s="5">
        <v>61944</v>
      </c>
      <c r="F53" s="5">
        <v>0</v>
      </c>
      <c r="G53" s="5">
        <v>0</v>
      </c>
      <c r="H53" s="5">
        <v>0</v>
      </c>
      <c r="I53" s="5">
        <v>0</v>
      </c>
      <c r="J53" s="5">
        <f t="shared" si="0"/>
        <v>61944</v>
      </c>
    </row>
    <row r="54" spans="1:10" x14ac:dyDescent="0.25">
      <c r="A54" s="27">
        <f>_xlfn.XLOOKUP(Tabla1[[#This Row],[Descripcion]],Costos!A:A,Costos!B:B)</f>
        <v>7.69</v>
      </c>
      <c r="B54" s="2">
        <v>46054</v>
      </c>
      <c r="C54" t="s">
        <v>26</v>
      </c>
      <c r="D54">
        <v>7.69</v>
      </c>
      <c r="E54" s="5">
        <v>104347</v>
      </c>
      <c r="F54" s="5">
        <v>0</v>
      </c>
      <c r="G54" s="5">
        <v>0</v>
      </c>
      <c r="H54" s="5">
        <v>0</v>
      </c>
      <c r="I54" s="5">
        <v>0</v>
      </c>
      <c r="J54" s="5">
        <f t="shared" si="0"/>
        <v>104347</v>
      </c>
    </row>
    <row r="55" spans="1:10" x14ac:dyDescent="0.25">
      <c r="A55" s="27">
        <f>_xlfn.XLOOKUP(Tabla1[[#This Row],[Descripcion]],Costos!A:A,Costos!B:B)</f>
        <v>7.69</v>
      </c>
      <c r="B55" s="2">
        <v>46054</v>
      </c>
      <c r="C55" t="s">
        <v>29</v>
      </c>
      <c r="D55">
        <v>7.69</v>
      </c>
      <c r="E55" s="5">
        <v>98208</v>
      </c>
      <c r="F55" s="5">
        <v>0</v>
      </c>
      <c r="G55" s="5">
        <v>0</v>
      </c>
      <c r="H55" s="5">
        <v>0</v>
      </c>
      <c r="I55" s="5">
        <v>0</v>
      </c>
      <c r="J55" s="5">
        <f t="shared" si="0"/>
        <v>98208</v>
      </c>
    </row>
    <row r="56" spans="1:10" x14ac:dyDescent="0.25">
      <c r="A56" s="27">
        <f>_xlfn.XLOOKUP(Tabla1[[#This Row],[Descripcion]],Costos!A:A,Costos!B:B)</f>
        <v>184.56</v>
      </c>
      <c r="B56" s="2">
        <v>46054</v>
      </c>
      <c r="C56" t="s">
        <v>34</v>
      </c>
      <c r="D56">
        <v>184.56</v>
      </c>
      <c r="E56" s="5">
        <v>2072</v>
      </c>
      <c r="F56" s="5">
        <v>0</v>
      </c>
      <c r="G56" s="5">
        <v>0</v>
      </c>
      <c r="H56" s="5">
        <v>0</v>
      </c>
      <c r="I56" s="5">
        <v>0</v>
      </c>
      <c r="J56" s="5">
        <f t="shared" si="0"/>
        <v>2072</v>
      </c>
    </row>
    <row r="57" spans="1:10" x14ac:dyDescent="0.25">
      <c r="A57" s="27">
        <f>_xlfn.XLOOKUP(Tabla1[[#This Row],[Descripcion]],Costos!A:A,Costos!B:B)</f>
        <v>1086.7487000399999</v>
      </c>
      <c r="B57" s="2">
        <v>46082</v>
      </c>
      <c r="C57" t="s">
        <v>7</v>
      </c>
      <c r="D57">
        <v>1086.7487000399999</v>
      </c>
      <c r="E57" s="5">
        <v>12</v>
      </c>
      <c r="F57" s="5">
        <v>0</v>
      </c>
      <c r="G57" s="5">
        <v>0</v>
      </c>
      <c r="H57" s="5">
        <v>0</v>
      </c>
      <c r="I57" s="5">
        <v>0</v>
      </c>
      <c r="J57" s="5">
        <f t="shared" si="0"/>
        <v>12</v>
      </c>
    </row>
    <row r="58" spans="1:10" x14ac:dyDescent="0.25">
      <c r="A58" s="27">
        <f>_xlfn.XLOOKUP(Tabla1[[#This Row],[Descripcion]],Costos!A:A,Costos!B:B)</f>
        <v>349.31270000000001</v>
      </c>
      <c r="B58" s="2">
        <v>46082</v>
      </c>
      <c r="C58" t="s">
        <v>8</v>
      </c>
      <c r="D58">
        <v>349.31270000000001</v>
      </c>
      <c r="E58" s="5">
        <v>523</v>
      </c>
      <c r="F58" s="5">
        <v>0</v>
      </c>
      <c r="G58" s="5">
        <v>0</v>
      </c>
      <c r="H58" s="5">
        <v>2</v>
      </c>
      <c r="I58" s="5">
        <v>0</v>
      </c>
      <c r="J58" s="5">
        <f t="shared" si="0"/>
        <v>521</v>
      </c>
    </row>
    <row r="59" spans="1:10" x14ac:dyDescent="0.25">
      <c r="A59" s="27">
        <f>_xlfn.XLOOKUP(Tabla1[[#This Row],[Descripcion]],Costos!A:A,Costos!B:B)</f>
        <v>447.78148077999998</v>
      </c>
      <c r="B59" s="2">
        <v>46082</v>
      </c>
      <c r="C59" t="s">
        <v>9</v>
      </c>
      <c r="D59">
        <v>447.78148077999998</v>
      </c>
      <c r="E59" s="5">
        <v>11241</v>
      </c>
      <c r="F59" s="5">
        <v>0</v>
      </c>
      <c r="G59" s="5">
        <v>1</v>
      </c>
      <c r="H59" s="5">
        <v>66</v>
      </c>
      <c r="I59" s="5">
        <v>0</v>
      </c>
      <c r="J59" s="5">
        <f t="shared" si="0"/>
        <v>11176</v>
      </c>
    </row>
    <row r="60" spans="1:10" x14ac:dyDescent="0.25">
      <c r="A60" s="27">
        <f>_xlfn.XLOOKUP(Tabla1[[#This Row],[Descripcion]],Costos!A:A,Costos!B:B)</f>
        <v>451.39645788000001</v>
      </c>
      <c r="B60" s="2">
        <v>46082</v>
      </c>
      <c r="C60" t="s">
        <v>10</v>
      </c>
      <c r="D60">
        <v>451.39645788000001</v>
      </c>
      <c r="E60" s="5">
        <v>2467</v>
      </c>
      <c r="F60" s="5">
        <v>0</v>
      </c>
      <c r="G60" s="5">
        <v>0</v>
      </c>
      <c r="H60" s="5">
        <v>270</v>
      </c>
      <c r="I60" s="5">
        <v>0</v>
      </c>
      <c r="J60" s="5">
        <f t="shared" si="0"/>
        <v>2197</v>
      </c>
    </row>
    <row r="61" spans="1:10" x14ac:dyDescent="0.25">
      <c r="A61" s="27">
        <f>_xlfn.XLOOKUP(Tabla1[[#This Row],[Descripcion]],Costos!A:A,Costos!B:B)</f>
        <v>58.319144649999998</v>
      </c>
      <c r="B61" s="2">
        <v>46082</v>
      </c>
      <c r="C61" s="3" t="s">
        <v>11</v>
      </c>
      <c r="D61">
        <v>58.319144649999998</v>
      </c>
      <c r="E61" s="5">
        <v>20676</v>
      </c>
      <c r="F61" s="5">
        <v>0</v>
      </c>
      <c r="G61" s="5">
        <v>0</v>
      </c>
      <c r="H61" s="5">
        <v>283</v>
      </c>
      <c r="I61" s="5">
        <v>0</v>
      </c>
      <c r="J61" s="5">
        <f t="shared" si="0"/>
        <v>20393</v>
      </c>
    </row>
    <row r="62" spans="1:10" x14ac:dyDescent="0.25">
      <c r="A62" s="27">
        <f>_xlfn.XLOOKUP(Tabla1[[#This Row],[Descripcion]],Costos!A:A,Costos!B:B)</f>
        <v>58.065091809999998</v>
      </c>
      <c r="B62" s="2">
        <v>46082</v>
      </c>
      <c r="C62" t="s">
        <v>12</v>
      </c>
      <c r="D62">
        <v>58.065091809999998</v>
      </c>
      <c r="E62" s="5">
        <v>21051</v>
      </c>
      <c r="F62" s="5">
        <v>0</v>
      </c>
      <c r="G62" s="5">
        <v>1</v>
      </c>
      <c r="H62" s="5">
        <v>239</v>
      </c>
      <c r="I62" s="5">
        <v>0</v>
      </c>
      <c r="J62" s="5">
        <f t="shared" si="0"/>
        <v>20813</v>
      </c>
    </row>
    <row r="63" spans="1:10" x14ac:dyDescent="0.25">
      <c r="A63" s="27">
        <f>_xlfn.XLOOKUP(Tabla1[[#This Row],[Descripcion]],Costos!A:A,Costos!B:B)</f>
        <v>57.20105058</v>
      </c>
      <c r="B63" s="2">
        <v>46082</v>
      </c>
      <c r="C63" t="s">
        <v>13</v>
      </c>
      <c r="D63">
        <v>57.20105058</v>
      </c>
      <c r="E63" s="5">
        <v>10142</v>
      </c>
      <c r="F63" s="5">
        <v>0</v>
      </c>
      <c r="G63" s="5">
        <v>0</v>
      </c>
      <c r="H63" s="5">
        <v>504</v>
      </c>
      <c r="I63" s="5">
        <v>0</v>
      </c>
      <c r="J63" s="5">
        <f t="shared" si="0"/>
        <v>9638</v>
      </c>
    </row>
    <row r="64" spans="1:10" x14ac:dyDescent="0.25">
      <c r="A64" s="27">
        <f>_xlfn.XLOOKUP(Tabla1[[#This Row],[Descripcion]],Costos!A:A,Costos!B:B)</f>
        <v>60.761000000000003</v>
      </c>
      <c r="B64" s="2">
        <v>46082</v>
      </c>
      <c r="C64" t="s">
        <v>14</v>
      </c>
      <c r="D64">
        <v>60.761000000000003</v>
      </c>
      <c r="E64" s="5">
        <v>8868</v>
      </c>
      <c r="F64" s="5">
        <v>0</v>
      </c>
      <c r="G64" s="5">
        <v>0</v>
      </c>
      <c r="H64" s="5">
        <v>52</v>
      </c>
      <c r="I64" s="5">
        <v>0</v>
      </c>
      <c r="J64" s="5">
        <f t="shared" si="0"/>
        <v>8816</v>
      </c>
    </row>
    <row r="65" spans="1:10" x14ac:dyDescent="0.25">
      <c r="A65" s="27">
        <f>_xlfn.XLOOKUP(Tabla1[[#This Row],[Descripcion]],Costos!A:A,Costos!B:B)</f>
        <v>465.80610001000002</v>
      </c>
      <c r="B65" s="2">
        <v>46082</v>
      </c>
      <c r="C65" t="s">
        <v>15</v>
      </c>
      <c r="D65">
        <v>465.80610001000002</v>
      </c>
      <c r="E65" s="5">
        <v>5618</v>
      </c>
      <c r="F65" s="5">
        <v>0</v>
      </c>
      <c r="G65" s="5">
        <v>1</v>
      </c>
      <c r="H65" s="5">
        <v>179</v>
      </c>
      <c r="I65" s="5">
        <v>0</v>
      </c>
      <c r="J65" s="5">
        <f t="shared" si="0"/>
        <v>5440</v>
      </c>
    </row>
    <row r="66" spans="1:10" x14ac:dyDescent="0.25">
      <c r="A66" s="27">
        <f>_xlfn.XLOOKUP(Tabla1[[#This Row],[Descripcion]],Costos!A:A,Costos!B:B)</f>
        <v>517.49819996999997</v>
      </c>
      <c r="B66" s="2">
        <v>46082</v>
      </c>
      <c r="C66" t="s">
        <v>6</v>
      </c>
      <c r="D66">
        <v>517.49819996999997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f t="shared" si="0"/>
        <v>0</v>
      </c>
    </row>
    <row r="67" spans="1:10" x14ac:dyDescent="0.25">
      <c r="A67" s="27">
        <f>_xlfn.XLOOKUP(Tabla1[[#This Row],[Descripcion]],Costos!A:A,Costos!B:B)</f>
        <v>154.16364960000001</v>
      </c>
      <c r="B67" s="2">
        <v>46082</v>
      </c>
      <c r="C67" t="s">
        <v>16</v>
      </c>
      <c r="D67">
        <v>154.16364960000001</v>
      </c>
      <c r="E67" s="5">
        <v>862</v>
      </c>
      <c r="F67" s="5">
        <v>0</v>
      </c>
      <c r="G67" s="5">
        <v>0</v>
      </c>
      <c r="H67" s="5">
        <v>7</v>
      </c>
      <c r="I67" s="5">
        <v>0</v>
      </c>
      <c r="J67" s="5">
        <f t="shared" si="0"/>
        <v>855</v>
      </c>
    </row>
    <row r="68" spans="1:10" x14ac:dyDescent="0.25">
      <c r="A68" s="27">
        <f>_xlfn.XLOOKUP(Tabla1[[#This Row],[Descripcion]],Costos!A:A,Costos!B:B)</f>
        <v>147.57659999000001</v>
      </c>
      <c r="B68" s="2">
        <v>46082</v>
      </c>
      <c r="C68" t="s">
        <v>17</v>
      </c>
      <c r="D68">
        <v>147.57659999000001</v>
      </c>
      <c r="E68" s="5">
        <v>800</v>
      </c>
      <c r="F68" s="5">
        <v>0</v>
      </c>
      <c r="G68" s="5">
        <v>0</v>
      </c>
      <c r="H68" s="5">
        <v>14</v>
      </c>
      <c r="I68" s="5">
        <v>0</v>
      </c>
      <c r="J68" s="5">
        <f t="shared" si="0"/>
        <v>786</v>
      </c>
    </row>
    <row r="69" spans="1:10" x14ac:dyDescent="0.25">
      <c r="A69" s="27">
        <f>_xlfn.XLOOKUP(Tabla1[[#This Row],[Descripcion]],Costos!A:A,Costos!B:B)</f>
        <v>147.57659999000001</v>
      </c>
      <c r="B69" s="2">
        <v>46082</v>
      </c>
      <c r="C69" t="s">
        <v>3</v>
      </c>
      <c r="D69">
        <v>147.57659999000001</v>
      </c>
      <c r="E69" s="5">
        <v>615</v>
      </c>
      <c r="F69" s="5">
        <v>0</v>
      </c>
      <c r="G69" s="5">
        <v>0</v>
      </c>
      <c r="H69" s="5">
        <v>13</v>
      </c>
      <c r="I69" s="5">
        <v>0</v>
      </c>
      <c r="J69" s="5">
        <f t="shared" si="0"/>
        <v>602</v>
      </c>
    </row>
    <row r="70" spans="1:10" x14ac:dyDescent="0.25">
      <c r="A70" s="27">
        <f>_xlfn.XLOOKUP(Tabla1[[#This Row],[Descripcion]],Costos!A:A,Costos!B:B)</f>
        <v>170.34</v>
      </c>
      <c r="B70" s="2">
        <v>46082</v>
      </c>
      <c r="C70" t="s">
        <v>18</v>
      </c>
      <c r="D70">
        <v>170.34</v>
      </c>
      <c r="E70" s="5">
        <v>1458</v>
      </c>
      <c r="F70" s="5">
        <v>0</v>
      </c>
      <c r="G70" s="5">
        <v>0</v>
      </c>
      <c r="H70" s="5">
        <v>0</v>
      </c>
      <c r="I70" s="5">
        <v>0</v>
      </c>
      <c r="J70" s="5">
        <f t="shared" si="0"/>
        <v>1458</v>
      </c>
    </row>
    <row r="71" spans="1:10" x14ac:dyDescent="0.25">
      <c r="A71" s="27">
        <f>_xlfn.XLOOKUP(Tabla1[[#This Row],[Descripcion]],Costos!A:A,Costos!B:B)</f>
        <v>434.24951347000001</v>
      </c>
      <c r="B71" s="2">
        <v>46082</v>
      </c>
      <c r="C71" t="s">
        <v>19</v>
      </c>
      <c r="D71">
        <v>434.24951347000001</v>
      </c>
      <c r="E71" s="5">
        <v>2889</v>
      </c>
      <c r="F71" s="5">
        <v>0</v>
      </c>
      <c r="G71" s="5">
        <v>0</v>
      </c>
      <c r="H71" s="5">
        <v>396</v>
      </c>
      <c r="I71" s="5">
        <v>0</v>
      </c>
      <c r="J71" s="5">
        <f t="shared" si="0"/>
        <v>2493</v>
      </c>
    </row>
    <row r="72" spans="1:10" x14ac:dyDescent="0.25">
      <c r="A72" s="27">
        <f>_xlfn.XLOOKUP(Tabla1[[#This Row],[Descripcion]],Costos!A:A,Costos!B:B)</f>
        <v>441.31310000000002</v>
      </c>
      <c r="B72" s="2">
        <v>46082</v>
      </c>
      <c r="C72" t="s">
        <v>27</v>
      </c>
      <c r="D72">
        <v>441.31310000000002</v>
      </c>
      <c r="E72" s="5">
        <v>5778</v>
      </c>
      <c r="F72" s="5">
        <v>0</v>
      </c>
      <c r="G72" s="5">
        <v>281</v>
      </c>
      <c r="H72" s="5">
        <v>137</v>
      </c>
      <c r="I72" s="5">
        <v>0</v>
      </c>
      <c r="J72" s="5">
        <f t="shared" si="0"/>
        <v>5922</v>
      </c>
    </row>
    <row r="73" spans="1:10" x14ac:dyDescent="0.25">
      <c r="A73" s="27">
        <f>_xlfn.XLOOKUP(Tabla1[[#This Row],[Descripcion]],Costos!A:A,Costos!B:B)</f>
        <v>17.9445254</v>
      </c>
      <c r="B73" s="2">
        <v>46082</v>
      </c>
      <c r="C73" t="s">
        <v>20</v>
      </c>
      <c r="D73">
        <v>17.9445254</v>
      </c>
      <c r="E73" s="5">
        <v>198985</v>
      </c>
      <c r="F73" s="5">
        <v>0</v>
      </c>
      <c r="G73" s="5">
        <v>0</v>
      </c>
      <c r="H73" s="5">
        <v>22</v>
      </c>
      <c r="I73" s="5">
        <v>0</v>
      </c>
      <c r="J73" s="5">
        <f t="shared" si="0"/>
        <v>198963</v>
      </c>
    </row>
    <row r="74" spans="1:10" x14ac:dyDescent="0.25">
      <c r="A74" s="27">
        <f>_xlfn.XLOOKUP(Tabla1[[#This Row],[Descripcion]],Costos!A:A,Costos!B:B)</f>
        <v>57.19</v>
      </c>
      <c r="B74" s="2">
        <v>46082</v>
      </c>
      <c r="C74" t="s">
        <v>21</v>
      </c>
      <c r="D74">
        <v>57.19</v>
      </c>
      <c r="E74" s="5">
        <v>7357</v>
      </c>
      <c r="F74" s="5">
        <v>0</v>
      </c>
      <c r="G74" s="5">
        <v>0</v>
      </c>
      <c r="H74" s="5">
        <v>70</v>
      </c>
      <c r="I74" s="5">
        <v>0</v>
      </c>
      <c r="J74" s="5">
        <f t="shared" ref="J74:J140" si="1">(E74+G74+F74)-(H74+I74)</f>
        <v>7287</v>
      </c>
    </row>
    <row r="75" spans="1:10" x14ac:dyDescent="0.25">
      <c r="A75" s="27">
        <f>_xlfn.XLOOKUP(Tabla1[[#This Row],[Descripcion]],Costos!A:A,Costos!B:B)</f>
        <v>417.75261008000001</v>
      </c>
      <c r="B75" s="2">
        <v>46082</v>
      </c>
      <c r="C75" t="s">
        <v>22</v>
      </c>
      <c r="D75">
        <v>417.75261008000001</v>
      </c>
      <c r="E75" s="5">
        <v>1461</v>
      </c>
      <c r="F75" s="5">
        <v>0</v>
      </c>
      <c r="G75" s="5">
        <v>0</v>
      </c>
      <c r="H75" s="5">
        <v>13</v>
      </c>
      <c r="I75" s="5">
        <v>0</v>
      </c>
      <c r="J75" s="5">
        <f t="shared" si="1"/>
        <v>1448</v>
      </c>
    </row>
    <row r="76" spans="1:10" x14ac:dyDescent="0.25">
      <c r="A76" s="27">
        <f>_xlfn.XLOOKUP(Tabla1[[#This Row],[Descripcion]],Costos!A:A,Costos!B:B)</f>
        <v>417.75261008000001</v>
      </c>
      <c r="B76" s="2">
        <v>46082</v>
      </c>
      <c r="C76" t="s">
        <v>23</v>
      </c>
      <c r="D76">
        <v>417.75261008000001</v>
      </c>
      <c r="E76" s="5">
        <v>1615</v>
      </c>
      <c r="F76" s="5">
        <v>0</v>
      </c>
      <c r="G76" s="5">
        <v>24</v>
      </c>
      <c r="H76" s="5">
        <v>24</v>
      </c>
      <c r="I76" s="5">
        <v>0</v>
      </c>
      <c r="J76" s="5">
        <f t="shared" si="1"/>
        <v>1615</v>
      </c>
    </row>
    <row r="77" spans="1:10" x14ac:dyDescent="0.25">
      <c r="A77" s="27">
        <f>_xlfn.XLOOKUP(Tabla1[[#This Row],[Descripcion]],Costos!A:A,Costos!B:B)</f>
        <v>417.75261008000001</v>
      </c>
      <c r="B77" s="2">
        <v>46082</v>
      </c>
      <c r="C77" t="s">
        <v>24</v>
      </c>
      <c r="D77">
        <v>417.75261008000001</v>
      </c>
      <c r="E77" s="5">
        <v>1445</v>
      </c>
      <c r="F77" s="5">
        <v>0</v>
      </c>
      <c r="G77" s="5">
        <v>0</v>
      </c>
      <c r="H77" s="5">
        <v>7</v>
      </c>
      <c r="I77" s="5">
        <v>0</v>
      </c>
      <c r="J77" s="5">
        <f t="shared" si="1"/>
        <v>1438</v>
      </c>
    </row>
    <row r="78" spans="1:10" x14ac:dyDescent="0.25">
      <c r="A78" s="27">
        <f>_xlfn.XLOOKUP(Tabla1[[#This Row],[Descripcion]],Costos!A:A,Costos!B:B)</f>
        <v>417.75261008000001</v>
      </c>
      <c r="B78" s="2">
        <v>46082</v>
      </c>
      <c r="C78" t="s">
        <v>25</v>
      </c>
      <c r="D78">
        <v>417.75261008000001</v>
      </c>
      <c r="E78" s="5">
        <v>1445</v>
      </c>
      <c r="F78" s="5">
        <v>0</v>
      </c>
      <c r="G78" s="5">
        <v>0</v>
      </c>
      <c r="H78" s="5">
        <v>2</v>
      </c>
      <c r="I78" s="5">
        <v>0</v>
      </c>
      <c r="J78" s="5">
        <f t="shared" si="1"/>
        <v>1443</v>
      </c>
    </row>
    <row r="79" spans="1:10" x14ac:dyDescent="0.25">
      <c r="A79" s="27">
        <f>_xlfn.XLOOKUP(Tabla1[[#This Row],[Descripcion]],Costos!A:A,Costos!B:B)</f>
        <v>7.69</v>
      </c>
      <c r="B79" s="2">
        <v>46082</v>
      </c>
      <c r="C79" t="s">
        <v>33</v>
      </c>
      <c r="D79">
        <v>7.69</v>
      </c>
      <c r="E79" s="5">
        <v>61944</v>
      </c>
      <c r="F79" s="5">
        <v>0</v>
      </c>
      <c r="G79" s="5">
        <v>0</v>
      </c>
      <c r="H79" s="5">
        <v>0</v>
      </c>
      <c r="I79" s="5">
        <v>0</v>
      </c>
      <c r="J79" s="5">
        <f t="shared" si="1"/>
        <v>61944</v>
      </c>
    </row>
    <row r="80" spans="1:10" x14ac:dyDescent="0.25">
      <c r="A80" s="27">
        <f>_xlfn.XLOOKUP(Tabla1[[#This Row],[Descripcion]],Costos!A:A,Costos!B:B)</f>
        <v>7.69</v>
      </c>
      <c r="B80" s="2">
        <v>46082</v>
      </c>
      <c r="C80" t="s">
        <v>26</v>
      </c>
      <c r="D80">
        <v>7.69</v>
      </c>
      <c r="E80" s="5">
        <v>104347</v>
      </c>
      <c r="F80" s="5">
        <v>0</v>
      </c>
      <c r="G80" s="5">
        <v>0</v>
      </c>
      <c r="H80" s="5">
        <v>120</v>
      </c>
      <c r="I80" s="5">
        <v>0</v>
      </c>
      <c r="J80" s="5">
        <f t="shared" si="1"/>
        <v>104227</v>
      </c>
    </row>
    <row r="81" spans="1:10" x14ac:dyDescent="0.25">
      <c r="A81" s="27">
        <f>_xlfn.XLOOKUP(Tabla1[[#This Row],[Descripcion]],Costos!A:A,Costos!B:B)</f>
        <v>7.69</v>
      </c>
      <c r="B81" s="2">
        <v>46082</v>
      </c>
      <c r="C81" t="s">
        <v>29</v>
      </c>
      <c r="D81">
        <v>7.69</v>
      </c>
      <c r="E81" s="5">
        <v>98208</v>
      </c>
      <c r="F81" s="5">
        <v>0</v>
      </c>
      <c r="G81" s="5">
        <v>0</v>
      </c>
      <c r="H81" s="5">
        <v>120</v>
      </c>
      <c r="I81" s="5">
        <v>0</v>
      </c>
      <c r="J81" s="5">
        <f t="shared" si="1"/>
        <v>98088</v>
      </c>
    </row>
    <row r="82" spans="1:10" x14ac:dyDescent="0.25">
      <c r="A82" s="27">
        <f>_xlfn.XLOOKUP(Tabla1[[#This Row],[Descripcion]],Costos!A:A,Costos!B:B)</f>
        <v>184.56</v>
      </c>
      <c r="B82" s="2">
        <v>46082</v>
      </c>
      <c r="C82" t="s">
        <v>34</v>
      </c>
      <c r="D82">
        <v>184.56</v>
      </c>
      <c r="E82" s="5">
        <v>2072</v>
      </c>
      <c r="F82" s="5">
        <v>0</v>
      </c>
      <c r="G82" s="5">
        <v>0</v>
      </c>
      <c r="H82" s="5">
        <v>0</v>
      </c>
      <c r="I82" s="5">
        <v>0</v>
      </c>
      <c r="J82" s="5">
        <f t="shared" si="1"/>
        <v>2072</v>
      </c>
    </row>
    <row r="83" spans="1:10" x14ac:dyDescent="0.25">
      <c r="A83" s="27">
        <f>_xlfn.XLOOKUP(Tabla1[[#This Row],[Descripcion]],Costos!A:A,Costos!B:B)</f>
        <v>1086.7487000399999</v>
      </c>
      <c r="B83" s="2">
        <v>46113</v>
      </c>
      <c r="C83" t="s">
        <v>7</v>
      </c>
      <c r="D83">
        <v>1086.7487000399999</v>
      </c>
      <c r="E83" s="5">
        <v>12</v>
      </c>
      <c r="F83" s="5">
        <v>0</v>
      </c>
      <c r="G83" s="5">
        <v>0</v>
      </c>
      <c r="H83" s="5">
        <v>0</v>
      </c>
      <c r="I83" s="5">
        <v>0</v>
      </c>
      <c r="J83" s="5">
        <f t="shared" si="1"/>
        <v>12</v>
      </c>
    </row>
    <row r="84" spans="1:10" x14ac:dyDescent="0.25">
      <c r="A84" s="27">
        <f>_xlfn.XLOOKUP(Tabla1[[#This Row],[Descripcion]],Costos!A:A,Costos!B:B)</f>
        <v>349.31270000000001</v>
      </c>
      <c r="B84" s="2">
        <v>46113</v>
      </c>
      <c r="C84" t="s">
        <v>8</v>
      </c>
      <c r="D84">
        <v>349.31270000000001</v>
      </c>
      <c r="E84" s="5">
        <v>521</v>
      </c>
      <c r="F84" s="5">
        <v>0</v>
      </c>
      <c r="G84" s="5">
        <v>0</v>
      </c>
      <c r="H84" s="5">
        <v>0</v>
      </c>
      <c r="I84" s="5">
        <v>0</v>
      </c>
      <c r="J84" s="5">
        <f t="shared" si="1"/>
        <v>521</v>
      </c>
    </row>
    <row r="85" spans="1:10" x14ac:dyDescent="0.25">
      <c r="A85" s="27">
        <f>_xlfn.XLOOKUP(Tabla1[[#This Row],[Descripcion]],Costos!A:A,Costos!B:B)</f>
        <v>447.78148077999998</v>
      </c>
      <c r="B85" s="2">
        <v>46113</v>
      </c>
      <c r="C85" t="s">
        <v>9</v>
      </c>
      <c r="D85">
        <v>447.78148077999998</v>
      </c>
      <c r="E85" s="5">
        <v>11176</v>
      </c>
      <c r="F85" s="5">
        <v>0</v>
      </c>
      <c r="G85" s="5">
        <v>0</v>
      </c>
      <c r="H85" s="5">
        <v>72</v>
      </c>
      <c r="I85" s="5">
        <v>5</v>
      </c>
      <c r="J85" s="5">
        <f t="shared" si="1"/>
        <v>11099</v>
      </c>
    </row>
    <row r="86" spans="1:10" x14ac:dyDescent="0.25">
      <c r="A86" s="27">
        <f>_xlfn.XLOOKUP(Tabla1[[#This Row],[Descripcion]],Costos!A:A,Costos!B:B)</f>
        <v>451.39645788000001</v>
      </c>
      <c r="B86" s="2">
        <v>46113</v>
      </c>
      <c r="C86" t="s">
        <v>10</v>
      </c>
      <c r="D86">
        <v>451.39645788000001</v>
      </c>
      <c r="E86" s="5">
        <v>2197</v>
      </c>
      <c r="F86" s="5">
        <v>7764</v>
      </c>
      <c r="G86" s="5">
        <v>0</v>
      </c>
      <c r="H86" s="5">
        <v>228</v>
      </c>
      <c r="I86" s="5">
        <v>7</v>
      </c>
      <c r="J86" s="5">
        <f t="shared" si="1"/>
        <v>9726</v>
      </c>
    </row>
    <row r="87" spans="1:10" x14ac:dyDescent="0.25">
      <c r="A87" s="27">
        <f>_xlfn.XLOOKUP(Tabla1[[#This Row],[Descripcion]],Costos!A:A,Costos!B:B)</f>
        <v>58.319144649999998</v>
      </c>
      <c r="B87" s="2">
        <v>46113</v>
      </c>
      <c r="C87" s="3" t="s">
        <v>11</v>
      </c>
      <c r="D87">
        <v>58.319144649999998</v>
      </c>
      <c r="E87" s="5">
        <v>20393</v>
      </c>
      <c r="F87" s="5">
        <v>0</v>
      </c>
      <c r="G87" s="5">
        <v>1</v>
      </c>
      <c r="H87" s="5">
        <v>866</v>
      </c>
      <c r="I87" s="5">
        <v>143</v>
      </c>
      <c r="J87" s="5">
        <f t="shared" si="1"/>
        <v>19385</v>
      </c>
    </row>
    <row r="88" spans="1:10" x14ac:dyDescent="0.25">
      <c r="A88" s="27">
        <f>_xlfn.XLOOKUP(Tabla1[[#This Row],[Descripcion]],Costos!A:A,Costos!B:B)</f>
        <v>58.065091809999998</v>
      </c>
      <c r="B88" s="2">
        <v>46113</v>
      </c>
      <c r="C88" t="s">
        <v>12</v>
      </c>
      <c r="D88">
        <v>58.065091809999998</v>
      </c>
      <c r="E88" s="5">
        <v>20813</v>
      </c>
      <c r="F88" s="5">
        <v>0</v>
      </c>
      <c r="G88" s="5">
        <v>0</v>
      </c>
      <c r="H88" s="5">
        <v>1056</v>
      </c>
      <c r="I88" s="5">
        <v>181</v>
      </c>
      <c r="J88" s="5">
        <f t="shared" si="1"/>
        <v>19576</v>
      </c>
    </row>
    <row r="89" spans="1:10" x14ac:dyDescent="0.25">
      <c r="A89" s="27">
        <f>_xlfn.XLOOKUP(Tabla1[[#This Row],[Descripcion]],Costos!A:A,Costos!B:B)</f>
        <v>57.20105058</v>
      </c>
      <c r="B89" s="2">
        <v>46113</v>
      </c>
      <c r="C89" t="s">
        <v>13</v>
      </c>
      <c r="D89">
        <v>57.20105058</v>
      </c>
      <c r="E89" s="5">
        <v>9638</v>
      </c>
      <c r="F89" s="5">
        <v>0</v>
      </c>
      <c r="G89" s="5">
        <v>0</v>
      </c>
      <c r="H89" s="5">
        <v>743</v>
      </c>
      <c r="I89" s="5">
        <v>20</v>
      </c>
      <c r="J89" s="5">
        <f t="shared" si="1"/>
        <v>8875</v>
      </c>
    </row>
    <row r="90" spans="1:10" x14ac:dyDescent="0.25">
      <c r="A90" s="27">
        <f>_xlfn.XLOOKUP(Tabla1[[#This Row],[Descripcion]],Costos!A:A,Costos!B:B)</f>
        <v>60.761000000000003</v>
      </c>
      <c r="B90" s="2">
        <v>46113</v>
      </c>
      <c r="C90" t="s">
        <v>14</v>
      </c>
      <c r="D90">
        <v>60.761000000000003</v>
      </c>
      <c r="E90" s="5">
        <v>8816</v>
      </c>
      <c r="F90" s="5">
        <v>0</v>
      </c>
      <c r="G90" s="5">
        <v>0</v>
      </c>
      <c r="H90" s="5">
        <v>42</v>
      </c>
      <c r="I90" s="5">
        <v>27</v>
      </c>
      <c r="J90" s="5">
        <f t="shared" si="1"/>
        <v>8747</v>
      </c>
    </row>
    <row r="91" spans="1:10" x14ac:dyDescent="0.25">
      <c r="A91" s="27">
        <f>_xlfn.XLOOKUP(Tabla1[[#This Row],[Descripcion]],Costos!A:A,Costos!B:B)</f>
        <v>465.80610001000002</v>
      </c>
      <c r="B91" s="2">
        <v>46113</v>
      </c>
      <c r="C91" t="s">
        <v>15</v>
      </c>
      <c r="D91">
        <v>465.80610001000002</v>
      </c>
      <c r="E91" s="5">
        <v>5440</v>
      </c>
      <c r="F91" s="5">
        <v>0</v>
      </c>
      <c r="G91" s="5">
        <v>0</v>
      </c>
      <c r="H91" s="5">
        <v>69</v>
      </c>
      <c r="I91" s="5">
        <v>47</v>
      </c>
      <c r="J91" s="5">
        <f t="shared" si="1"/>
        <v>5324</v>
      </c>
    </row>
    <row r="92" spans="1:10" x14ac:dyDescent="0.25">
      <c r="A92" s="27">
        <f>_xlfn.XLOOKUP(Tabla1[[#This Row],[Descripcion]],Costos!A:A,Costos!B:B)</f>
        <v>517.49819996999997</v>
      </c>
      <c r="B92" s="2">
        <v>46113</v>
      </c>
      <c r="C92" t="s">
        <v>6</v>
      </c>
      <c r="D92">
        <v>517.49819996999997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f t="shared" si="1"/>
        <v>0</v>
      </c>
    </row>
    <row r="93" spans="1:10" x14ac:dyDescent="0.25">
      <c r="A93" s="27">
        <f>_xlfn.XLOOKUP(Tabla1[[#This Row],[Descripcion]],Costos!A:A,Costos!B:B)</f>
        <v>154.16364960000001</v>
      </c>
      <c r="B93" s="2">
        <v>46113</v>
      </c>
      <c r="C93" t="s">
        <v>16</v>
      </c>
      <c r="D93">
        <v>154.16364960000001</v>
      </c>
      <c r="E93" s="5">
        <v>855</v>
      </c>
      <c r="F93" s="5">
        <v>0</v>
      </c>
      <c r="G93" s="5">
        <v>0</v>
      </c>
      <c r="H93" s="5">
        <v>10</v>
      </c>
      <c r="I93" s="5">
        <v>0</v>
      </c>
      <c r="J93" s="5">
        <f t="shared" si="1"/>
        <v>845</v>
      </c>
    </row>
    <row r="94" spans="1:10" x14ac:dyDescent="0.25">
      <c r="A94" s="27">
        <f>_xlfn.XLOOKUP(Tabla1[[#This Row],[Descripcion]],Costos!A:A,Costos!B:B)</f>
        <v>147.57659999000001</v>
      </c>
      <c r="B94" s="2">
        <v>46113</v>
      </c>
      <c r="C94" t="s">
        <v>17</v>
      </c>
      <c r="D94">
        <v>147.57659999000001</v>
      </c>
      <c r="E94" s="5">
        <v>786</v>
      </c>
      <c r="F94" s="5">
        <v>0</v>
      </c>
      <c r="G94" s="5">
        <v>0</v>
      </c>
      <c r="H94" s="5">
        <v>13</v>
      </c>
      <c r="I94" s="5">
        <v>0</v>
      </c>
      <c r="J94" s="5">
        <f t="shared" si="1"/>
        <v>773</v>
      </c>
    </row>
    <row r="95" spans="1:10" x14ac:dyDescent="0.25">
      <c r="A95" s="27">
        <f>_xlfn.XLOOKUP(Tabla1[[#This Row],[Descripcion]],Costos!A:A,Costos!B:B)</f>
        <v>147.57659999000001</v>
      </c>
      <c r="B95" s="4">
        <v>46113</v>
      </c>
      <c r="C95" s="1" t="s">
        <v>3</v>
      </c>
      <c r="D95">
        <v>147.57659999000001</v>
      </c>
      <c r="E95" s="6">
        <v>602</v>
      </c>
      <c r="F95" s="6">
        <v>0</v>
      </c>
      <c r="G95" s="6">
        <v>0</v>
      </c>
      <c r="H95" s="6">
        <v>12</v>
      </c>
      <c r="I95" s="6">
        <v>0</v>
      </c>
      <c r="J95" s="6">
        <f t="shared" si="1"/>
        <v>590</v>
      </c>
    </row>
    <row r="96" spans="1:10" x14ac:dyDescent="0.25">
      <c r="A96" s="27">
        <f>_xlfn.XLOOKUP(Tabla1[[#This Row],[Descripcion]],Costos!A:A,Costos!B:B)</f>
        <v>170.34</v>
      </c>
      <c r="B96" s="2">
        <v>46113</v>
      </c>
      <c r="C96" t="s">
        <v>18</v>
      </c>
      <c r="D96">
        <v>170.34</v>
      </c>
      <c r="E96" s="5">
        <v>1458</v>
      </c>
      <c r="F96" s="5">
        <v>0</v>
      </c>
      <c r="G96" s="5">
        <v>0</v>
      </c>
      <c r="H96" s="5">
        <v>0</v>
      </c>
      <c r="I96" s="5">
        <v>0</v>
      </c>
      <c r="J96" s="5">
        <f t="shared" si="1"/>
        <v>1458</v>
      </c>
    </row>
    <row r="97" spans="1:15" x14ac:dyDescent="0.25">
      <c r="A97" s="27">
        <f>_xlfn.XLOOKUP(Tabla1[[#This Row],[Descripcion]],Costos!A:A,Costos!B:B)</f>
        <v>434.24951347000001</v>
      </c>
      <c r="B97" s="2">
        <v>46113</v>
      </c>
      <c r="C97" t="s">
        <v>19</v>
      </c>
      <c r="D97">
        <v>434.24951347000001</v>
      </c>
      <c r="E97" s="5">
        <v>2493</v>
      </c>
      <c r="F97" s="5">
        <v>7380</v>
      </c>
      <c r="G97" s="5">
        <v>0</v>
      </c>
      <c r="H97" s="5">
        <v>252</v>
      </c>
      <c r="I97" s="5">
        <v>0</v>
      </c>
      <c r="J97" s="5">
        <f t="shared" si="1"/>
        <v>9621</v>
      </c>
    </row>
    <row r="98" spans="1:15" x14ac:dyDescent="0.25">
      <c r="A98" s="27">
        <f>_xlfn.XLOOKUP(Tabla1[[#This Row],[Descripcion]],Costos!A:A,Costos!B:B)</f>
        <v>441.31310000000002</v>
      </c>
      <c r="B98" s="2">
        <v>46113</v>
      </c>
      <c r="C98" t="s">
        <v>27</v>
      </c>
      <c r="D98">
        <v>441.31310000000002</v>
      </c>
      <c r="E98" s="5">
        <v>5922</v>
      </c>
      <c r="F98" s="5">
        <v>0</v>
      </c>
      <c r="G98" s="5">
        <v>0</v>
      </c>
      <c r="H98" s="5">
        <v>45</v>
      </c>
      <c r="I98" s="5">
        <v>43</v>
      </c>
      <c r="J98" s="5">
        <f>(E98+G98+F98)-(H98+I98)</f>
        <v>5834</v>
      </c>
    </row>
    <row r="99" spans="1:15" x14ac:dyDescent="0.25">
      <c r="A99" s="27">
        <f>_xlfn.XLOOKUP(Tabla1[[#This Row],[Descripcion]],Costos!A:A,Costos!B:B)</f>
        <v>17.9445254</v>
      </c>
      <c r="B99" s="2">
        <v>46113</v>
      </c>
      <c r="C99" t="s">
        <v>20</v>
      </c>
      <c r="D99">
        <v>17.9445254</v>
      </c>
      <c r="E99" s="5">
        <v>198963</v>
      </c>
      <c r="F99" s="5">
        <v>0</v>
      </c>
      <c r="G99" s="5">
        <v>0</v>
      </c>
      <c r="H99" s="5">
        <v>41</v>
      </c>
      <c r="I99" s="5">
        <v>60</v>
      </c>
      <c r="J99" s="5">
        <f t="shared" si="1"/>
        <v>198862</v>
      </c>
    </row>
    <row r="100" spans="1:15" x14ac:dyDescent="0.25">
      <c r="A100" s="27">
        <f>_xlfn.XLOOKUP(Tabla1[[#This Row],[Descripcion]],Costos!A:A,Costos!B:B)</f>
        <v>57.19</v>
      </c>
      <c r="B100" s="2">
        <v>46113</v>
      </c>
      <c r="C100" t="s">
        <v>21</v>
      </c>
      <c r="D100">
        <v>57.19</v>
      </c>
      <c r="E100" s="5">
        <v>7287</v>
      </c>
      <c r="F100" s="5">
        <v>0</v>
      </c>
      <c r="G100" s="5">
        <v>0</v>
      </c>
      <c r="H100" s="5">
        <v>45</v>
      </c>
      <c r="I100" s="5">
        <v>40</v>
      </c>
      <c r="J100" s="5">
        <f t="shared" si="1"/>
        <v>7202</v>
      </c>
    </row>
    <row r="101" spans="1:15" x14ac:dyDescent="0.25">
      <c r="A101" s="27">
        <f>_xlfn.XLOOKUP(Tabla1[[#This Row],[Descripcion]],Costos!A:A,Costos!B:B)</f>
        <v>417.75261008000001</v>
      </c>
      <c r="B101" s="2">
        <v>46113</v>
      </c>
      <c r="C101" t="s">
        <v>22</v>
      </c>
      <c r="D101">
        <v>417.75261008000001</v>
      </c>
      <c r="E101" s="5">
        <v>1448</v>
      </c>
      <c r="F101" s="5">
        <v>0</v>
      </c>
      <c r="G101" s="5">
        <v>0</v>
      </c>
      <c r="H101" s="5">
        <v>1</v>
      </c>
      <c r="I101" s="5">
        <v>0</v>
      </c>
      <c r="J101" s="5">
        <f t="shared" si="1"/>
        <v>1447</v>
      </c>
      <c r="O101" s="1"/>
    </row>
    <row r="102" spans="1:15" x14ac:dyDescent="0.25">
      <c r="A102" s="27">
        <f>_xlfn.XLOOKUP(Tabla1[[#This Row],[Descripcion]],Costos!A:A,Costos!B:B)</f>
        <v>417.75261008000001</v>
      </c>
      <c r="B102" s="2">
        <v>46113</v>
      </c>
      <c r="C102" t="s">
        <v>23</v>
      </c>
      <c r="D102">
        <v>417.75261008000001</v>
      </c>
      <c r="E102" s="5">
        <v>1615</v>
      </c>
      <c r="F102" s="5">
        <v>0</v>
      </c>
      <c r="G102" s="5">
        <v>0</v>
      </c>
      <c r="H102" s="5">
        <v>24</v>
      </c>
      <c r="I102" s="5">
        <v>0</v>
      </c>
      <c r="J102" s="5">
        <f t="shared" si="1"/>
        <v>1591</v>
      </c>
    </row>
    <row r="103" spans="1:15" x14ac:dyDescent="0.25">
      <c r="A103" s="27">
        <f>_xlfn.XLOOKUP(Tabla1[[#This Row],[Descripcion]],Costos!A:A,Costos!B:B)</f>
        <v>417.75261008000001</v>
      </c>
      <c r="B103" s="2">
        <v>46113</v>
      </c>
      <c r="C103" t="s">
        <v>24</v>
      </c>
      <c r="D103">
        <v>417.75261008000001</v>
      </c>
      <c r="E103" s="5">
        <v>1438</v>
      </c>
      <c r="F103" s="5">
        <v>0</v>
      </c>
      <c r="G103" s="5">
        <v>0</v>
      </c>
      <c r="H103" s="5">
        <v>2</v>
      </c>
      <c r="I103" s="5">
        <v>0</v>
      </c>
      <c r="J103" s="5">
        <f t="shared" si="1"/>
        <v>1436</v>
      </c>
    </row>
    <row r="104" spans="1:15" x14ac:dyDescent="0.25">
      <c r="A104" s="27">
        <f>_xlfn.XLOOKUP(Tabla1[[#This Row],[Descripcion]],Costos!A:A,Costos!B:B)</f>
        <v>417.75261008000001</v>
      </c>
      <c r="B104" s="2">
        <v>46113</v>
      </c>
      <c r="C104" t="s">
        <v>25</v>
      </c>
      <c r="D104">
        <v>417.75261008000001</v>
      </c>
      <c r="E104" s="5">
        <v>1443</v>
      </c>
      <c r="F104" s="5">
        <v>0</v>
      </c>
      <c r="G104" s="5">
        <v>0</v>
      </c>
      <c r="H104" s="5">
        <v>2</v>
      </c>
      <c r="I104" s="5">
        <v>0</v>
      </c>
      <c r="J104" s="5">
        <f t="shared" si="1"/>
        <v>1441</v>
      </c>
    </row>
    <row r="105" spans="1:15" x14ac:dyDescent="0.25">
      <c r="A105" s="27">
        <f>_xlfn.XLOOKUP(Tabla1[[#This Row],[Descripcion]],Costos!A:A,Costos!B:B)</f>
        <v>7.69</v>
      </c>
      <c r="B105" s="2">
        <v>46113</v>
      </c>
      <c r="C105" t="s">
        <v>33</v>
      </c>
      <c r="D105">
        <v>7.69</v>
      </c>
      <c r="E105" s="5">
        <v>61944</v>
      </c>
      <c r="F105" s="5">
        <v>0</v>
      </c>
      <c r="G105" s="5">
        <v>0</v>
      </c>
      <c r="H105" s="5">
        <v>0</v>
      </c>
      <c r="I105" s="5">
        <v>720</v>
      </c>
      <c r="J105" s="5">
        <f t="shared" si="1"/>
        <v>61224</v>
      </c>
    </row>
    <row r="106" spans="1:15" x14ac:dyDescent="0.25">
      <c r="A106" s="27">
        <f>_xlfn.XLOOKUP(Tabla1[[#This Row],[Descripcion]],Costos!A:A,Costos!B:B)</f>
        <v>7.69</v>
      </c>
      <c r="B106" s="2">
        <v>46113</v>
      </c>
      <c r="C106" t="s">
        <v>26</v>
      </c>
      <c r="D106">
        <v>7.69</v>
      </c>
      <c r="E106" s="5">
        <v>104227</v>
      </c>
      <c r="F106" s="5">
        <v>0</v>
      </c>
      <c r="G106" s="5">
        <v>845</v>
      </c>
      <c r="H106" s="5">
        <v>0</v>
      </c>
      <c r="I106" s="5">
        <v>0</v>
      </c>
      <c r="J106" s="5">
        <f t="shared" si="1"/>
        <v>105072</v>
      </c>
    </row>
    <row r="107" spans="1:15" x14ac:dyDescent="0.25">
      <c r="A107" s="27">
        <f>_xlfn.XLOOKUP(Tabla1[[#This Row],[Descripcion]],Costos!A:A,Costos!B:B)</f>
        <v>7.69</v>
      </c>
      <c r="B107" s="2">
        <v>46113</v>
      </c>
      <c r="C107" t="s">
        <v>29</v>
      </c>
      <c r="D107">
        <v>7.69</v>
      </c>
      <c r="E107" s="5">
        <v>98088</v>
      </c>
      <c r="F107" s="5">
        <v>0</v>
      </c>
      <c r="G107" s="5">
        <v>0</v>
      </c>
      <c r="H107" s="5">
        <v>0</v>
      </c>
      <c r="I107" s="5">
        <v>37512</v>
      </c>
      <c r="J107" s="5">
        <f t="shared" si="1"/>
        <v>60576</v>
      </c>
    </row>
    <row r="108" spans="1:15" x14ac:dyDescent="0.25">
      <c r="A108" s="27">
        <f>_xlfn.XLOOKUP(Tabla1[[#This Row],[Descripcion]],Costos!A:A,Costos!B:B)</f>
        <v>184.56</v>
      </c>
      <c r="B108" s="2">
        <v>46113</v>
      </c>
      <c r="C108" t="s">
        <v>34</v>
      </c>
      <c r="D108">
        <v>184.56</v>
      </c>
      <c r="E108" s="5">
        <v>2072</v>
      </c>
      <c r="F108" s="5">
        <v>0</v>
      </c>
      <c r="G108" s="5">
        <v>1556</v>
      </c>
      <c r="H108" s="5">
        <v>0</v>
      </c>
      <c r="I108" s="5">
        <v>0</v>
      </c>
      <c r="J108" s="5">
        <f t="shared" si="1"/>
        <v>3628</v>
      </c>
    </row>
    <row r="109" spans="1:15" x14ac:dyDescent="0.25">
      <c r="A109" s="27">
        <f>_xlfn.XLOOKUP(Tabla1[[#This Row],[Descripcion]],Costos!A:A,Costos!B:B)</f>
        <v>1086.7487000399999</v>
      </c>
      <c r="B109" s="2">
        <v>46143</v>
      </c>
      <c r="C109" t="s">
        <v>7</v>
      </c>
      <c r="D109">
        <v>1086.7487000399999</v>
      </c>
      <c r="E109" s="5">
        <v>12</v>
      </c>
      <c r="F109" s="9">
        <v>1</v>
      </c>
      <c r="G109" s="9">
        <v>0</v>
      </c>
      <c r="H109" s="9">
        <v>13</v>
      </c>
      <c r="I109" s="9">
        <v>0</v>
      </c>
      <c r="J109" s="5">
        <f t="shared" si="1"/>
        <v>0</v>
      </c>
    </row>
    <row r="110" spans="1:15" x14ac:dyDescent="0.25">
      <c r="A110" s="27">
        <f>_xlfn.XLOOKUP(Tabla1[[#This Row],[Descripcion]],Costos!A:A,Costos!B:B)</f>
        <v>349.31270000000001</v>
      </c>
      <c r="B110" s="2">
        <v>46143</v>
      </c>
      <c r="C110" t="s">
        <v>8</v>
      </c>
      <c r="D110">
        <v>349.31270000000001</v>
      </c>
      <c r="E110" s="5">
        <v>521</v>
      </c>
      <c r="F110" s="9">
        <v>0</v>
      </c>
      <c r="G110" s="9">
        <v>0</v>
      </c>
      <c r="H110" s="9">
        <v>7</v>
      </c>
      <c r="I110" s="9">
        <v>1</v>
      </c>
      <c r="J110" s="5">
        <f t="shared" si="1"/>
        <v>513</v>
      </c>
    </row>
    <row r="111" spans="1:15" x14ac:dyDescent="0.25">
      <c r="A111" s="27">
        <f>_xlfn.XLOOKUP(Tabla1[[#This Row],[Descripcion]],Costos!A:A,Costos!B:B)</f>
        <v>447.78148077999998</v>
      </c>
      <c r="B111" s="2">
        <v>46143</v>
      </c>
      <c r="C111" t="s">
        <v>9</v>
      </c>
      <c r="D111">
        <v>447.78148077999998</v>
      </c>
      <c r="E111" s="5">
        <v>11099</v>
      </c>
      <c r="F111" s="9">
        <v>0</v>
      </c>
      <c r="G111" s="9">
        <v>0</v>
      </c>
      <c r="H111" s="9">
        <v>6133</v>
      </c>
      <c r="I111" s="9">
        <v>32</v>
      </c>
      <c r="J111" s="5">
        <f t="shared" si="1"/>
        <v>4934</v>
      </c>
    </row>
    <row r="112" spans="1:15" x14ac:dyDescent="0.25">
      <c r="A112" s="27">
        <f>_xlfn.XLOOKUP(Tabla1[[#This Row],[Descripcion]],Costos!A:A,Costos!B:B)</f>
        <v>451.39645788000001</v>
      </c>
      <c r="B112" s="2">
        <v>46143</v>
      </c>
      <c r="C112" t="s">
        <v>10</v>
      </c>
      <c r="D112">
        <v>451.39645788000001</v>
      </c>
      <c r="E112" s="5">
        <v>9726</v>
      </c>
      <c r="F112" s="9">
        <v>0</v>
      </c>
      <c r="G112" s="9">
        <v>0</v>
      </c>
      <c r="H112" s="9">
        <v>300</v>
      </c>
      <c r="I112" s="9">
        <v>31</v>
      </c>
      <c r="J112" s="5">
        <f t="shared" si="1"/>
        <v>9395</v>
      </c>
    </row>
    <row r="113" spans="1:10" x14ac:dyDescent="0.25">
      <c r="A113" s="27">
        <f>_xlfn.XLOOKUP(Tabla1[[#This Row],[Descripcion]],Costos!A:A,Costos!B:B)</f>
        <v>58.319144649999998</v>
      </c>
      <c r="B113" s="2">
        <v>46143</v>
      </c>
      <c r="C113" s="3" t="s">
        <v>11</v>
      </c>
      <c r="D113">
        <v>58.319144649999998</v>
      </c>
      <c r="E113" s="5">
        <v>19385</v>
      </c>
      <c r="F113" s="9">
        <v>0</v>
      </c>
      <c r="G113" s="9">
        <v>12</v>
      </c>
      <c r="H113" s="9">
        <v>629</v>
      </c>
      <c r="I113" s="9">
        <v>207</v>
      </c>
      <c r="J113" s="5">
        <f t="shared" si="1"/>
        <v>18561</v>
      </c>
    </row>
    <row r="114" spans="1:10" x14ac:dyDescent="0.25">
      <c r="A114" s="27">
        <f>_xlfn.XLOOKUP(Tabla1[[#This Row],[Descripcion]],Costos!A:A,Costos!B:B)</f>
        <v>58.065091809999998</v>
      </c>
      <c r="B114" s="2">
        <v>46143</v>
      </c>
      <c r="C114" t="s">
        <v>12</v>
      </c>
      <c r="D114">
        <v>58.065091809999998</v>
      </c>
      <c r="E114" s="5">
        <v>19576</v>
      </c>
      <c r="F114" s="9">
        <v>0</v>
      </c>
      <c r="G114" s="9">
        <v>8</v>
      </c>
      <c r="H114" s="9">
        <v>752</v>
      </c>
      <c r="I114" s="9">
        <v>207</v>
      </c>
      <c r="J114" s="5">
        <f t="shared" si="1"/>
        <v>18625</v>
      </c>
    </row>
    <row r="115" spans="1:10" x14ac:dyDescent="0.25">
      <c r="A115" s="27">
        <f>_xlfn.XLOOKUP(Tabla1[[#This Row],[Descripcion]],Costos!A:A,Costos!B:B)</f>
        <v>57.20105058</v>
      </c>
      <c r="B115" s="2">
        <v>46143</v>
      </c>
      <c r="C115" t="s">
        <v>13</v>
      </c>
      <c r="D115">
        <v>57.20105058</v>
      </c>
      <c r="E115" s="5">
        <v>8875</v>
      </c>
      <c r="F115" s="9">
        <v>0</v>
      </c>
      <c r="G115" s="9">
        <v>1</v>
      </c>
      <c r="H115" s="9">
        <v>767</v>
      </c>
      <c r="I115" s="9">
        <v>75</v>
      </c>
      <c r="J115" s="5">
        <f t="shared" si="1"/>
        <v>8034</v>
      </c>
    </row>
    <row r="116" spans="1:10" x14ac:dyDescent="0.25">
      <c r="A116" s="27">
        <f>_xlfn.XLOOKUP(Tabla1[[#This Row],[Descripcion]],Costos!A:A,Costos!B:B)</f>
        <v>60.761000000000003</v>
      </c>
      <c r="B116" s="2">
        <v>46143</v>
      </c>
      <c r="C116" t="s">
        <v>14</v>
      </c>
      <c r="D116">
        <v>60.761000000000003</v>
      </c>
      <c r="E116" s="5">
        <v>8747</v>
      </c>
      <c r="F116" s="9">
        <v>0</v>
      </c>
      <c r="G116" s="9">
        <v>0</v>
      </c>
      <c r="H116" s="9">
        <v>69</v>
      </c>
      <c r="I116" s="9">
        <v>115</v>
      </c>
      <c r="J116" s="5">
        <f t="shared" si="1"/>
        <v>8563</v>
      </c>
    </row>
    <row r="117" spans="1:10" x14ac:dyDescent="0.25">
      <c r="A117" s="27">
        <f>_xlfn.XLOOKUP(Tabla1[[#This Row],[Descripcion]],Costos!A:A,Costos!B:B)</f>
        <v>465.80610001000002</v>
      </c>
      <c r="B117" s="2">
        <v>46143</v>
      </c>
      <c r="C117" t="s">
        <v>15</v>
      </c>
      <c r="D117">
        <v>465.80610001000002</v>
      </c>
      <c r="E117" s="5">
        <v>5324</v>
      </c>
      <c r="F117" s="9">
        <v>0</v>
      </c>
      <c r="G117" s="9">
        <v>0</v>
      </c>
      <c r="H117" s="9">
        <v>41</v>
      </c>
      <c r="I117" s="9">
        <v>0</v>
      </c>
      <c r="J117" s="5">
        <f t="shared" si="1"/>
        <v>5283</v>
      </c>
    </row>
    <row r="118" spans="1:10" x14ac:dyDescent="0.25">
      <c r="A118" s="27">
        <f>_xlfn.XLOOKUP(Tabla1[[#This Row],[Descripcion]],Costos!A:A,Costos!B:B)</f>
        <v>517.49819996999997</v>
      </c>
      <c r="B118" s="2">
        <v>46143</v>
      </c>
      <c r="C118" t="s">
        <v>6</v>
      </c>
      <c r="D118">
        <v>517.49819996999997</v>
      </c>
      <c r="E118" s="5">
        <v>0</v>
      </c>
      <c r="F118" s="9">
        <v>0</v>
      </c>
      <c r="G118" s="9">
        <v>8</v>
      </c>
      <c r="H118" s="9">
        <v>1</v>
      </c>
      <c r="I118" s="9">
        <v>0</v>
      </c>
      <c r="J118" s="5">
        <f t="shared" si="1"/>
        <v>7</v>
      </c>
    </row>
    <row r="119" spans="1:10" x14ac:dyDescent="0.25">
      <c r="A119" s="27">
        <f>_xlfn.XLOOKUP(Tabla1[[#This Row],[Descripcion]],Costos!A:A,Costos!B:B)</f>
        <v>154.16364960000001</v>
      </c>
      <c r="B119" s="2">
        <v>46143</v>
      </c>
      <c r="C119" t="s">
        <v>16</v>
      </c>
      <c r="D119">
        <v>154.16364960000001</v>
      </c>
      <c r="E119" s="5">
        <v>845</v>
      </c>
      <c r="F119" s="9">
        <v>0</v>
      </c>
      <c r="G119" s="9">
        <v>0</v>
      </c>
      <c r="H119" s="9">
        <v>5</v>
      </c>
      <c r="I119" s="9">
        <v>0</v>
      </c>
      <c r="J119" s="5">
        <f t="shared" si="1"/>
        <v>840</v>
      </c>
    </row>
    <row r="120" spans="1:10" x14ac:dyDescent="0.25">
      <c r="A120" s="27">
        <f>_xlfn.XLOOKUP(Tabla1[[#This Row],[Descripcion]],Costos!A:A,Costos!B:B)</f>
        <v>147.57659999000001</v>
      </c>
      <c r="B120" s="2">
        <v>46143</v>
      </c>
      <c r="C120" t="s">
        <v>17</v>
      </c>
      <c r="D120">
        <v>147.57659999000001</v>
      </c>
      <c r="E120" s="5">
        <v>773</v>
      </c>
      <c r="F120" s="9">
        <v>0</v>
      </c>
      <c r="G120" s="9">
        <v>0</v>
      </c>
      <c r="H120" s="9">
        <v>5</v>
      </c>
      <c r="I120" s="9">
        <v>0</v>
      </c>
      <c r="J120" s="5">
        <f t="shared" si="1"/>
        <v>768</v>
      </c>
    </row>
    <row r="121" spans="1:10" x14ac:dyDescent="0.25">
      <c r="A121" s="27">
        <f>_xlfn.XLOOKUP(Tabla1[[#This Row],[Descripcion]],Costos!A:A,Costos!B:B)</f>
        <v>147.57659999000001</v>
      </c>
      <c r="B121" s="2">
        <v>46143</v>
      </c>
      <c r="C121" s="1" t="s">
        <v>3</v>
      </c>
      <c r="D121">
        <v>147.57659999000001</v>
      </c>
      <c r="E121" s="5">
        <v>590</v>
      </c>
      <c r="F121" s="9">
        <v>0</v>
      </c>
      <c r="G121" s="9">
        <v>0</v>
      </c>
      <c r="H121" s="9">
        <v>32</v>
      </c>
      <c r="I121" s="9">
        <v>1</v>
      </c>
      <c r="J121" s="5">
        <f t="shared" si="1"/>
        <v>557</v>
      </c>
    </row>
    <row r="122" spans="1:10" x14ac:dyDescent="0.25">
      <c r="A122" s="27">
        <f>_xlfn.XLOOKUP(Tabla1[[#This Row],[Descripcion]],Costos!A:A,Costos!B:B)</f>
        <v>170.34</v>
      </c>
      <c r="B122" s="2">
        <v>46143</v>
      </c>
      <c r="C122" t="s">
        <v>18</v>
      </c>
      <c r="D122">
        <v>170.34</v>
      </c>
      <c r="E122" s="5">
        <v>1458</v>
      </c>
      <c r="F122" s="9">
        <v>0</v>
      </c>
      <c r="G122" s="9">
        <v>0</v>
      </c>
      <c r="H122" s="9">
        <v>13</v>
      </c>
      <c r="I122" s="9">
        <v>0</v>
      </c>
      <c r="J122" s="5">
        <f t="shared" si="1"/>
        <v>1445</v>
      </c>
    </row>
    <row r="123" spans="1:10" x14ac:dyDescent="0.25">
      <c r="A123" s="27">
        <f>_xlfn.XLOOKUP(Tabla1[[#This Row],[Descripcion]],Costos!A:A,Costos!B:B)</f>
        <v>434.24951347000001</v>
      </c>
      <c r="B123" s="2">
        <v>46143</v>
      </c>
      <c r="C123" t="s">
        <v>19</v>
      </c>
      <c r="D123">
        <v>434.24951347000001</v>
      </c>
      <c r="E123" s="5">
        <v>9621</v>
      </c>
      <c r="F123" s="9">
        <v>0</v>
      </c>
      <c r="G123" s="9">
        <v>0</v>
      </c>
      <c r="H123" s="9">
        <v>180</v>
      </c>
      <c r="I123" s="9">
        <v>0</v>
      </c>
      <c r="J123" s="5">
        <f t="shared" si="1"/>
        <v>9441</v>
      </c>
    </row>
    <row r="124" spans="1:10" x14ac:dyDescent="0.25">
      <c r="A124" s="27">
        <f>_xlfn.XLOOKUP(Tabla1[[#This Row],[Descripcion]],Costos!A:A,Costos!B:B)</f>
        <v>441.31310000000002</v>
      </c>
      <c r="B124" s="2">
        <v>46143</v>
      </c>
      <c r="C124" t="s">
        <v>27</v>
      </c>
      <c r="D124">
        <v>441.31310000000002</v>
      </c>
      <c r="E124" s="5">
        <v>5834</v>
      </c>
      <c r="F124" s="9">
        <v>0</v>
      </c>
      <c r="G124" s="9">
        <v>0</v>
      </c>
      <c r="H124" s="9">
        <v>59</v>
      </c>
      <c r="I124" s="9">
        <v>29</v>
      </c>
      <c r="J124" s="5">
        <f t="shared" si="1"/>
        <v>5746</v>
      </c>
    </row>
    <row r="125" spans="1:10" x14ac:dyDescent="0.25">
      <c r="A125" s="27">
        <f>_xlfn.XLOOKUP(Tabla1[[#This Row],[Descripcion]],Costos!A:A,Costos!B:B)</f>
        <v>17.9445254</v>
      </c>
      <c r="B125" s="2">
        <v>46143</v>
      </c>
      <c r="C125" t="s">
        <v>20</v>
      </c>
      <c r="D125">
        <v>17.9445254</v>
      </c>
      <c r="E125" s="5">
        <v>198862</v>
      </c>
      <c r="F125" s="9">
        <v>0</v>
      </c>
      <c r="G125" s="9">
        <v>0</v>
      </c>
      <c r="H125" s="9">
        <v>517</v>
      </c>
      <c r="I125" s="9">
        <v>296</v>
      </c>
      <c r="J125" s="5">
        <f t="shared" si="1"/>
        <v>198049</v>
      </c>
    </row>
    <row r="126" spans="1:10" x14ac:dyDescent="0.25">
      <c r="A126" s="27">
        <f>_xlfn.XLOOKUP(Tabla1[[#This Row],[Descripcion]],Costos!A:A,Costos!B:B)</f>
        <v>57.19</v>
      </c>
      <c r="B126" s="2">
        <v>46143</v>
      </c>
      <c r="C126" t="s">
        <v>21</v>
      </c>
      <c r="D126">
        <v>57.19</v>
      </c>
      <c r="E126" s="5">
        <v>7202</v>
      </c>
      <c r="F126" s="9">
        <v>0</v>
      </c>
      <c r="G126" s="9">
        <v>0</v>
      </c>
      <c r="H126" s="9">
        <v>76</v>
      </c>
      <c r="I126" s="9">
        <v>116</v>
      </c>
      <c r="J126" s="5">
        <f t="shared" si="1"/>
        <v>7010</v>
      </c>
    </row>
    <row r="127" spans="1:10" x14ac:dyDescent="0.25">
      <c r="A127" s="27">
        <f>_xlfn.XLOOKUP(Tabla1[[#This Row],[Descripcion]],Costos!A:A,Costos!B:B)</f>
        <v>417.75261008000001</v>
      </c>
      <c r="B127" s="2">
        <v>46143</v>
      </c>
      <c r="C127" t="s">
        <v>22</v>
      </c>
      <c r="D127">
        <v>417.75261008000001</v>
      </c>
      <c r="E127" s="5">
        <v>1447</v>
      </c>
      <c r="F127" s="9">
        <v>0</v>
      </c>
      <c r="G127" s="9">
        <v>0</v>
      </c>
      <c r="H127" s="9">
        <v>10</v>
      </c>
      <c r="I127" s="9">
        <v>0</v>
      </c>
      <c r="J127" s="5">
        <f t="shared" si="1"/>
        <v>1437</v>
      </c>
    </row>
    <row r="128" spans="1:10" x14ac:dyDescent="0.25">
      <c r="A128" s="27">
        <f>_xlfn.XLOOKUP(Tabla1[[#This Row],[Descripcion]],Costos!A:A,Costos!B:B)</f>
        <v>417.75261008000001</v>
      </c>
      <c r="B128" s="2">
        <v>46143</v>
      </c>
      <c r="C128" t="s">
        <v>23</v>
      </c>
      <c r="D128">
        <v>417.75261008000001</v>
      </c>
      <c r="E128" s="5">
        <v>1591</v>
      </c>
      <c r="F128" s="9">
        <v>0</v>
      </c>
      <c r="G128" s="9">
        <v>20</v>
      </c>
      <c r="H128" s="9">
        <v>18</v>
      </c>
      <c r="I128" s="9">
        <v>1</v>
      </c>
      <c r="J128" s="5">
        <f t="shared" si="1"/>
        <v>1592</v>
      </c>
    </row>
    <row r="129" spans="1:10" x14ac:dyDescent="0.25">
      <c r="A129" s="27">
        <f>_xlfn.XLOOKUP(Tabla1[[#This Row],[Descripcion]],Costos!A:A,Costos!B:B)</f>
        <v>417.75261008000001</v>
      </c>
      <c r="B129" s="2">
        <v>46143</v>
      </c>
      <c r="C129" t="s">
        <v>24</v>
      </c>
      <c r="D129">
        <v>417.75261008000001</v>
      </c>
      <c r="E129" s="5">
        <v>1436</v>
      </c>
      <c r="F129" s="9">
        <v>0</v>
      </c>
      <c r="G129" s="9">
        <v>0</v>
      </c>
      <c r="H129" s="9">
        <v>0</v>
      </c>
      <c r="I129" s="9">
        <v>0</v>
      </c>
      <c r="J129" s="5">
        <f t="shared" si="1"/>
        <v>1436</v>
      </c>
    </row>
    <row r="130" spans="1:10" x14ac:dyDescent="0.25">
      <c r="A130" s="27">
        <f>_xlfn.XLOOKUP(Tabla1[[#This Row],[Descripcion]],Costos!A:A,Costos!B:B)</f>
        <v>417.75261008000001</v>
      </c>
      <c r="B130" s="2">
        <v>46143</v>
      </c>
      <c r="C130" t="s">
        <v>25</v>
      </c>
      <c r="D130">
        <v>417.75261008000001</v>
      </c>
      <c r="E130" s="5">
        <v>1441</v>
      </c>
      <c r="F130" s="9">
        <v>0</v>
      </c>
      <c r="G130" s="9">
        <v>0</v>
      </c>
      <c r="H130" s="5">
        <v>0</v>
      </c>
      <c r="I130" s="9">
        <v>0</v>
      </c>
      <c r="J130" s="5">
        <f t="shared" si="1"/>
        <v>1441</v>
      </c>
    </row>
    <row r="131" spans="1:10" x14ac:dyDescent="0.25">
      <c r="A131" s="27">
        <f>_xlfn.XLOOKUP(Tabla1[[#This Row],[Descripcion]],Costos!A:A,Costos!B:B)</f>
        <v>7.69</v>
      </c>
      <c r="B131" s="2">
        <v>46143</v>
      </c>
      <c r="C131" t="s">
        <v>33</v>
      </c>
      <c r="D131">
        <v>7.69</v>
      </c>
      <c r="E131" s="5">
        <v>61224</v>
      </c>
      <c r="F131" s="9">
        <v>0</v>
      </c>
      <c r="G131" s="9">
        <v>0</v>
      </c>
      <c r="H131" s="5">
        <v>39600</v>
      </c>
      <c r="I131" s="9">
        <v>0</v>
      </c>
      <c r="J131" s="5">
        <f t="shared" si="1"/>
        <v>21624</v>
      </c>
    </row>
    <row r="132" spans="1:10" x14ac:dyDescent="0.25">
      <c r="A132" s="27">
        <f>_xlfn.XLOOKUP(Tabla1[[#This Row],[Descripcion]],Costos!A:A,Costos!B:B)</f>
        <v>7.69</v>
      </c>
      <c r="B132" s="2">
        <v>46143</v>
      </c>
      <c r="C132" t="s">
        <v>26</v>
      </c>
      <c r="D132">
        <v>7.69</v>
      </c>
      <c r="E132" s="5">
        <v>105072</v>
      </c>
      <c r="F132" s="9">
        <v>0</v>
      </c>
      <c r="G132" s="9">
        <v>0</v>
      </c>
      <c r="H132" s="5">
        <v>103800</v>
      </c>
      <c r="I132" s="9">
        <v>0</v>
      </c>
      <c r="J132" s="5">
        <f t="shared" si="1"/>
        <v>1272</v>
      </c>
    </row>
    <row r="133" spans="1:10" x14ac:dyDescent="0.25">
      <c r="A133" s="27">
        <f>_xlfn.XLOOKUP(Tabla1[[#This Row],[Descripcion]],Costos!A:A,Costos!B:B)</f>
        <v>7.69</v>
      </c>
      <c r="B133" s="2">
        <v>46143</v>
      </c>
      <c r="C133" t="s">
        <v>29</v>
      </c>
      <c r="D133">
        <v>7.69</v>
      </c>
      <c r="E133" s="5">
        <v>60576</v>
      </c>
      <c r="F133" s="9">
        <v>120</v>
      </c>
      <c r="G133" s="9">
        <v>0</v>
      </c>
      <c r="H133" s="5">
        <v>60600</v>
      </c>
      <c r="I133" s="9">
        <v>0</v>
      </c>
      <c r="J133" s="5">
        <f t="shared" si="1"/>
        <v>96</v>
      </c>
    </row>
    <row r="134" spans="1:10" x14ac:dyDescent="0.25">
      <c r="A134" s="27">
        <f>_xlfn.XLOOKUP(Tabla1[[#This Row],[Descripcion]],Costos!A:A,Costos!B:B)</f>
        <v>184.56</v>
      </c>
      <c r="B134" s="2">
        <v>46143</v>
      </c>
      <c r="C134" t="s">
        <v>34</v>
      </c>
      <c r="D134">
        <v>184.56</v>
      </c>
      <c r="E134" s="5">
        <v>3628</v>
      </c>
      <c r="F134" s="9">
        <v>0</v>
      </c>
      <c r="G134" s="9">
        <v>0</v>
      </c>
      <c r="H134" s="5">
        <v>3600</v>
      </c>
      <c r="I134" s="9">
        <v>0</v>
      </c>
      <c r="J134" s="5">
        <f t="shared" si="1"/>
        <v>28</v>
      </c>
    </row>
    <row r="135" spans="1:10" x14ac:dyDescent="0.25">
      <c r="A135" s="27">
        <f>_xlfn.XLOOKUP(Tabla1[[#This Row],[Descripcion]],Costos!A:A,Costos!B:B)</f>
        <v>36.413524000000002</v>
      </c>
      <c r="B135" s="2">
        <v>46143</v>
      </c>
      <c r="C135" t="s">
        <v>35</v>
      </c>
      <c r="D135">
        <v>36.413524000000002</v>
      </c>
      <c r="E135" s="5">
        <v>10000</v>
      </c>
      <c r="F135" s="9">
        <v>0</v>
      </c>
      <c r="G135" s="9">
        <v>0</v>
      </c>
      <c r="H135" s="9">
        <v>0</v>
      </c>
      <c r="I135" s="9">
        <v>107</v>
      </c>
      <c r="J135" s="5">
        <f t="shared" si="1"/>
        <v>9893</v>
      </c>
    </row>
    <row r="136" spans="1:10" x14ac:dyDescent="0.25">
      <c r="A136" s="27">
        <f>_xlfn.XLOOKUP(Tabla1[[#This Row],[Descripcion]],Costos!A:A,Costos!B:B)</f>
        <v>36.413524000000002</v>
      </c>
      <c r="B136" s="2">
        <v>46143</v>
      </c>
      <c r="C136" t="s">
        <v>36</v>
      </c>
      <c r="D136">
        <v>36.413524000000002</v>
      </c>
      <c r="E136" s="5">
        <v>10000</v>
      </c>
      <c r="F136" s="9">
        <v>0</v>
      </c>
      <c r="G136" s="9">
        <v>0</v>
      </c>
      <c r="H136" s="9">
        <v>0</v>
      </c>
      <c r="I136" s="9">
        <v>107</v>
      </c>
      <c r="J136" s="5">
        <f t="shared" si="1"/>
        <v>9893</v>
      </c>
    </row>
    <row r="137" spans="1:10" x14ac:dyDescent="0.25">
      <c r="A137" s="27">
        <f>_xlfn.XLOOKUP(Tabla1[[#This Row],[Descripcion]],Costos!A:A,Costos!B:B)</f>
        <v>1086.7487000399999</v>
      </c>
      <c r="B137" s="2">
        <v>46174</v>
      </c>
      <c r="C137" t="s">
        <v>7</v>
      </c>
      <c r="D137">
        <v>1086.7487000399999</v>
      </c>
      <c r="E137" s="5">
        <v>0</v>
      </c>
      <c r="I137"/>
      <c r="J137" s="5">
        <f t="shared" si="1"/>
        <v>0</v>
      </c>
    </row>
    <row r="138" spans="1:10" x14ac:dyDescent="0.25">
      <c r="A138" s="27">
        <f>_xlfn.XLOOKUP(Tabla1[[#This Row],[Descripcion]],Costos!A:A,Costos!B:B)</f>
        <v>349.31270000000001</v>
      </c>
      <c r="B138" s="2">
        <v>46174</v>
      </c>
      <c r="C138" t="s">
        <v>8</v>
      </c>
      <c r="D138">
        <v>349.31270000000001</v>
      </c>
      <c r="E138" s="5">
        <v>513</v>
      </c>
      <c r="G138">
        <v>1</v>
      </c>
      <c r="H138">
        <v>1</v>
      </c>
      <c r="I138"/>
      <c r="J138" s="5">
        <f t="shared" si="1"/>
        <v>513</v>
      </c>
    </row>
    <row r="139" spans="1:10" x14ac:dyDescent="0.25">
      <c r="A139" s="27">
        <f>_xlfn.XLOOKUP(Tabla1[[#This Row],[Descripcion]],Costos!A:A,Costos!B:B)</f>
        <v>447.78148077999998</v>
      </c>
      <c r="B139" s="2">
        <v>46174</v>
      </c>
      <c r="C139" t="s">
        <v>9</v>
      </c>
      <c r="D139">
        <v>447.78148077999998</v>
      </c>
      <c r="E139" s="5">
        <v>4934</v>
      </c>
      <c r="G139">
        <v>6000</v>
      </c>
      <c r="H139">
        <v>6008</v>
      </c>
      <c r="I139">
        <v>1</v>
      </c>
      <c r="J139" s="5">
        <f t="shared" si="1"/>
        <v>4925</v>
      </c>
    </row>
    <row r="140" spans="1:10" x14ac:dyDescent="0.25">
      <c r="A140" s="27">
        <f>_xlfn.XLOOKUP(Tabla1[[#This Row],[Descripcion]],Costos!A:A,Costos!B:B)</f>
        <v>451.39645788000001</v>
      </c>
      <c r="B140" s="2">
        <v>46174</v>
      </c>
      <c r="C140" t="s">
        <v>10</v>
      </c>
      <c r="D140">
        <v>451.39645788000001</v>
      </c>
      <c r="E140" s="5">
        <v>9395</v>
      </c>
      <c r="G140">
        <v>1</v>
      </c>
      <c r="H140">
        <v>584</v>
      </c>
      <c r="I140">
        <v>1</v>
      </c>
      <c r="J140" s="5">
        <f t="shared" si="1"/>
        <v>8811</v>
      </c>
    </row>
    <row r="141" spans="1:10" x14ac:dyDescent="0.25">
      <c r="A141" s="27">
        <f>_xlfn.XLOOKUP(Tabla1[[#This Row],[Descripcion]],Costos!A:A,Costos!B:B)</f>
        <v>58.319144649999998</v>
      </c>
      <c r="B141" s="2">
        <v>46174</v>
      </c>
      <c r="C141" s="3" t="s">
        <v>11</v>
      </c>
      <c r="D141">
        <v>58.319144649999998</v>
      </c>
      <c r="E141" s="5">
        <v>18561</v>
      </c>
      <c r="G141">
        <v>2</v>
      </c>
      <c r="H141">
        <v>468</v>
      </c>
      <c r="I141">
        <v>25</v>
      </c>
      <c r="J141" s="5">
        <f t="shared" ref="J141:J190" si="2">(E141+G141+F141)-(H141+I141)</f>
        <v>18070</v>
      </c>
    </row>
    <row r="142" spans="1:10" x14ac:dyDescent="0.25">
      <c r="A142" s="27">
        <f>_xlfn.XLOOKUP(Tabla1[[#This Row],[Descripcion]],Costos!A:A,Costos!B:B)</f>
        <v>58.065091809999998</v>
      </c>
      <c r="B142" s="2">
        <v>46174</v>
      </c>
      <c r="C142" t="s">
        <v>12</v>
      </c>
      <c r="D142">
        <v>58.065091809999998</v>
      </c>
      <c r="E142" s="5">
        <v>18625</v>
      </c>
      <c r="H142">
        <v>309</v>
      </c>
      <c r="I142">
        <v>5</v>
      </c>
      <c r="J142" s="5">
        <f t="shared" si="2"/>
        <v>18311</v>
      </c>
    </row>
    <row r="143" spans="1:10" x14ac:dyDescent="0.25">
      <c r="A143" s="27">
        <f>_xlfn.XLOOKUP(Tabla1[[#This Row],[Descripcion]],Costos!A:A,Costos!B:B)</f>
        <v>57.20105058</v>
      </c>
      <c r="B143" s="2">
        <v>46174</v>
      </c>
      <c r="C143" t="s">
        <v>13</v>
      </c>
      <c r="D143">
        <v>57.20105058</v>
      </c>
      <c r="E143" s="5">
        <v>8034</v>
      </c>
      <c r="H143">
        <v>1469</v>
      </c>
      <c r="I143">
        <v>5</v>
      </c>
      <c r="J143" s="5">
        <f t="shared" si="2"/>
        <v>6560</v>
      </c>
    </row>
    <row r="144" spans="1:10" x14ac:dyDescent="0.25">
      <c r="A144" s="27">
        <f>_xlfn.XLOOKUP(Tabla1[[#This Row],[Descripcion]],Costos!A:A,Costos!B:B)</f>
        <v>60.761000000000003</v>
      </c>
      <c r="B144" s="2">
        <v>46174</v>
      </c>
      <c r="C144" t="s">
        <v>14</v>
      </c>
      <c r="D144">
        <v>60.761000000000003</v>
      </c>
      <c r="E144" s="5">
        <v>8563</v>
      </c>
      <c r="H144">
        <v>292</v>
      </c>
      <c r="I144">
        <v>5</v>
      </c>
      <c r="J144" s="5">
        <f t="shared" si="2"/>
        <v>8266</v>
      </c>
    </row>
    <row r="145" spans="1:10" x14ac:dyDescent="0.25">
      <c r="A145" s="27">
        <f>_xlfn.XLOOKUP(Tabla1[[#This Row],[Descripcion]],Costos!A:A,Costos!B:B)</f>
        <v>465.80610001000002</v>
      </c>
      <c r="B145" s="2">
        <v>46174</v>
      </c>
      <c r="C145" t="s">
        <v>15</v>
      </c>
      <c r="D145">
        <v>465.80610001000002</v>
      </c>
      <c r="E145" s="5">
        <v>5283</v>
      </c>
      <c r="F145">
        <v>1</v>
      </c>
      <c r="G145">
        <v>2</v>
      </c>
      <c r="H145">
        <v>78</v>
      </c>
      <c r="I145">
        <v>1</v>
      </c>
      <c r="J145" s="5">
        <f t="shared" si="2"/>
        <v>5207</v>
      </c>
    </row>
    <row r="146" spans="1:10" x14ac:dyDescent="0.25">
      <c r="A146" s="27">
        <f>_xlfn.XLOOKUP(Tabla1[[#This Row],[Descripcion]],Costos!A:A,Costos!B:B)</f>
        <v>517.49819996999997</v>
      </c>
      <c r="B146" s="2">
        <v>46174</v>
      </c>
      <c r="C146" t="s">
        <v>6</v>
      </c>
      <c r="D146">
        <v>517.49819996999997</v>
      </c>
      <c r="E146" s="5">
        <v>7</v>
      </c>
      <c r="I146"/>
      <c r="J146" s="5">
        <f t="shared" si="2"/>
        <v>7</v>
      </c>
    </row>
    <row r="147" spans="1:10" x14ac:dyDescent="0.25">
      <c r="A147" s="27">
        <f>_xlfn.XLOOKUP(Tabla1[[#This Row],[Descripcion]],Costos!A:A,Costos!B:B)</f>
        <v>154.16364960000001</v>
      </c>
      <c r="B147" s="2">
        <v>46174</v>
      </c>
      <c r="C147" t="s">
        <v>16</v>
      </c>
      <c r="D147">
        <v>154.16364960000001</v>
      </c>
      <c r="E147" s="5">
        <v>840</v>
      </c>
      <c r="H147">
        <v>51</v>
      </c>
      <c r="I147"/>
      <c r="J147" s="5">
        <f t="shared" si="2"/>
        <v>789</v>
      </c>
    </row>
    <row r="148" spans="1:10" x14ac:dyDescent="0.25">
      <c r="A148" s="27">
        <f>_xlfn.XLOOKUP(Tabla1[[#This Row],[Descripcion]],Costos!A:A,Costos!B:B)</f>
        <v>147.57659999000001</v>
      </c>
      <c r="B148" s="2">
        <v>46174</v>
      </c>
      <c r="C148" t="s">
        <v>17</v>
      </c>
      <c r="D148">
        <v>147.57659999000001</v>
      </c>
      <c r="E148" s="5">
        <v>768</v>
      </c>
      <c r="H148">
        <v>53</v>
      </c>
      <c r="I148"/>
      <c r="J148" s="5">
        <f t="shared" si="2"/>
        <v>715</v>
      </c>
    </row>
    <row r="149" spans="1:10" x14ac:dyDescent="0.25">
      <c r="A149" s="27">
        <f>_xlfn.XLOOKUP(Tabla1[[#This Row],[Descripcion]],Costos!A:A,Costos!B:B)</f>
        <v>147.57659999000001</v>
      </c>
      <c r="B149" s="2">
        <v>46174</v>
      </c>
      <c r="C149" s="1" t="s">
        <v>3</v>
      </c>
      <c r="D149">
        <v>147.57659999000001</v>
      </c>
      <c r="E149" s="5">
        <v>557</v>
      </c>
      <c r="H149">
        <v>90</v>
      </c>
      <c r="I149">
        <v>1</v>
      </c>
      <c r="J149" s="5">
        <f t="shared" si="2"/>
        <v>466</v>
      </c>
    </row>
    <row r="150" spans="1:10" x14ac:dyDescent="0.25">
      <c r="A150" s="27">
        <f>_xlfn.XLOOKUP(Tabla1[[#This Row],[Descripcion]],Costos!A:A,Costos!B:B)</f>
        <v>170.34</v>
      </c>
      <c r="B150" s="2">
        <v>46174</v>
      </c>
      <c r="C150" t="s">
        <v>18</v>
      </c>
      <c r="D150">
        <v>170.34</v>
      </c>
      <c r="E150" s="5">
        <v>1445</v>
      </c>
      <c r="I150"/>
      <c r="J150" s="5">
        <f t="shared" si="2"/>
        <v>1445</v>
      </c>
    </row>
    <row r="151" spans="1:10" x14ac:dyDescent="0.25">
      <c r="A151" s="27">
        <f>_xlfn.XLOOKUP(Tabla1[[#This Row],[Descripcion]],Costos!A:A,Costos!B:B)</f>
        <v>434.24951347000001</v>
      </c>
      <c r="B151" s="2">
        <v>46174</v>
      </c>
      <c r="C151" t="s">
        <v>19</v>
      </c>
      <c r="D151">
        <v>434.24951347000001</v>
      </c>
      <c r="E151" s="5">
        <v>9441</v>
      </c>
      <c r="H151">
        <v>312</v>
      </c>
      <c r="I151"/>
      <c r="J151" s="5">
        <f t="shared" si="2"/>
        <v>9129</v>
      </c>
    </row>
    <row r="152" spans="1:10" ht="15.75" customHeight="1" x14ac:dyDescent="0.25">
      <c r="A152" s="27">
        <f>_xlfn.XLOOKUP(Tabla1[[#This Row],[Descripcion]],Costos!A:A,Costos!B:B)</f>
        <v>441.31310000000002</v>
      </c>
      <c r="B152" s="2">
        <v>46174</v>
      </c>
      <c r="C152" t="s">
        <v>27</v>
      </c>
      <c r="D152">
        <v>441.31310000000002</v>
      </c>
      <c r="E152" s="5">
        <v>5746</v>
      </c>
      <c r="F152">
        <v>1</v>
      </c>
      <c r="G152">
        <v>4</v>
      </c>
      <c r="H152">
        <v>133</v>
      </c>
      <c r="I152">
        <v>1</v>
      </c>
      <c r="J152" s="5">
        <f t="shared" si="2"/>
        <v>5617</v>
      </c>
    </row>
    <row r="153" spans="1:10" x14ac:dyDescent="0.25">
      <c r="A153" s="27">
        <f>_xlfn.XLOOKUP(Tabla1[[#This Row],[Descripcion]],Costos!A:A,Costos!B:B)</f>
        <v>17.9445254</v>
      </c>
      <c r="B153" s="2">
        <v>46174</v>
      </c>
      <c r="C153" t="s">
        <v>20</v>
      </c>
      <c r="D153">
        <v>17.9445254</v>
      </c>
      <c r="E153" s="5">
        <v>198049</v>
      </c>
      <c r="H153">
        <v>491</v>
      </c>
      <c r="I153"/>
      <c r="J153" s="5">
        <f t="shared" si="2"/>
        <v>197558</v>
      </c>
    </row>
    <row r="154" spans="1:10" x14ac:dyDescent="0.25">
      <c r="A154" s="27">
        <f>_xlfn.XLOOKUP(Tabla1[[#This Row],[Descripcion]],Costos!A:A,Costos!B:B)</f>
        <v>57.19</v>
      </c>
      <c r="B154" s="2">
        <v>46174</v>
      </c>
      <c r="C154" t="s">
        <v>21</v>
      </c>
      <c r="D154">
        <v>57.19</v>
      </c>
      <c r="E154" s="5">
        <v>7010</v>
      </c>
      <c r="H154">
        <v>61</v>
      </c>
      <c r="I154">
        <v>5</v>
      </c>
      <c r="J154" s="5">
        <f t="shared" si="2"/>
        <v>6944</v>
      </c>
    </row>
    <row r="155" spans="1:10" x14ac:dyDescent="0.25">
      <c r="A155" s="27">
        <f>_xlfn.XLOOKUP(Tabla1[[#This Row],[Descripcion]],Costos!A:A,Costos!B:B)</f>
        <v>417.75261008000001</v>
      </c>
      <c r="B155" s="2">
        <v>46174</v>
      </c>
      <c r="C155" t="s">
        <v>22</v>
      </c>
      <c r="D155">
        <v>417.75261008000001</v>
      </c>
      <c r="E155" s="5">
        <v>1437</v>
      </c>
      <c r="H155">
        <v>2</v>
      </c>
      <c r="I155"/>
      <c r="J155" s="5">
        <f t="shared" si="2"/>
        <v>1435</v>
      </c>
    </row>
    <row r="156" spans="1:10" x14ac:dyDescent="0.25">
      <c r="A156" s="27">
        <f>_xlfn.XLOOKUP(Tabla1[[#This Row],[Descripcion]],Costos!A:A,Costos!B:B)</f>
        <v>417.75261008000001</v>
      </c>
      <c r="B156" s="2">
        <v>46174</v>
      </c>
      <c r="C156" t="s">
        <v>23</v>
      </c>
      <c r="D156">
        <v>417.75261008000001</v>
      </c>
      <c r="E156" s="5">
        <v>1592</v>
      </c>
      <c r="F156">
        <v>1</v>
      </c>
      <c r="H156">
        <v>63</v>
      </c>
      <c r="I156"/>
      <c r="J156" s="5">
        <f t="shared" si="2"/>
        <v>1530</v>
      </c>
    </row>
    <row r="157" spans="1:10" x14ac:dyDescent="0.25">
      <c r="A157" s="27">
        <f>_xlfn.XLOOKUP(Tabla1[[#This Row],[Descripcion]],Costos!A:A,Costos!B:B)</f>
        <v>417.75261008000001</v>
      </c>
      <c r="B157" s="2">
        <v>46174</v>
      </c>
      <c r="C157" t="s">
        <v>24</v>
      </c>
      <c r="D157">
        <v>417.75261008000001</v>
      </c>
      <c r="E157" s="5">
        <v>1436</v>
      </c>
      <c r="I157"/>
      <c r="J157" s="5">
        <f t="shared" si="2"/>
        <v>1436</v>
      </c>
    </row>
    <row r="158" spans="1:10" x14ac:dyDescent="0.25">
      <c r="A158" s="27">
        <f>_xlfn.XLOOKUP(Tabla1[[#This Row],[Descripcion]],Costos!A:A,Costos!B:B)</f>
        <v>417.75261008000001</v>
      </c>
      <c r="B158" s="2">
        <v>46174</v>
      </c>
      <c r="C158" t="s">
        <v>25</v>
      </c>
      <c r="D158">
        <v>417.75261008000001</v>
      </c>
      <c r="E158" s="5">
        <v>1441</v>
      </c>
      <c r="I158"/>
      <c r="J158" s="5">
        <f t="shared" si="2"/>
        <v>1441</v>
      </c>
    </row>
    <row r="159" spans="1:10" x14ac:dyDescent="0.25">
      <c r="A159" s="27">
        <f>_xlfn.XLOOKUP(Tabla1[[#This Row],[Descripcion]],Costos!A:A,Costos!B:B)</f>
        <v>7.69</v>
      </c>
      <c r="B159" s="2">
        <v>46174</v>
      </c>
      <c r="C159" t="s">
        <v>33</v>
      </c>
      <c r="D159">
        <v>7.69</v>
      </c>
      <c r="E159" s="5">
        <v>21624</v>
      </c>
      <c r="I159"/>
      <c r="J159" s="5">
        <f t="shared" si="2"/>
        <v>21624</v>
      </c>
    </row>
    <row r="160" spans="1:10" x14ac:dyDescent="0.25">
      <c r="A160" s="27">
        <f>_xlfn.XLOOKUP(Tabla1[[#This Row],[Descripcion]],Costos!A:A,Costos!B:B)</f>
        <v>7.69</v>
      </c>
      <c r="B160" s="2">
        <v>46174</v>
      </c>
      <c r="C160" t="s">
        <v>26</v>
      </c>
      <c r="D160">
        <v>7.69</v>
      </c>
      <c r="E160" s="5">
        <v>1272</v>
      </c>
      <c r="I160"/>
      <c r="J160" s="5">
        <f t="shared" si="2"/>
        <v>1272</v>
      </c>
    </row>
    <row r="161" spans="1:10" x14ac:dyDescent="0.25">
      <c r="A161" s="27">
        <f>_xlfn.XLOOKUP(Tabla1[[#This Row],[Descripcion]],Costos!A:A,Costos!B:B)</f>
        <v>7.69</v>
      </c>
      <c r="B161" s="2">
        <v>46174</v>
      </c>
      <c r="C161" t="s">
        <v>29</v>
      </c>
      <c r="D161">
        <v>7.69</v>
      </c>
      <c r="E161" s="5">
        <v>96</v>
      </c>
      <c r="I161"/>
      <c r="J161" s="5">
        <f t="shared" si="2"/>
        <v>96</v>
      </c>
    </row>
    <row r="162" spans="1:10" x14ac:dyDescent="0.25">
      <c r="A162" s="27">
        <f>_xlfn.XLOOKUP(Tabla1[[#This Row],[Descripcion]],Costos!A:A,Costos!B:B)</f>
        <v>184.56</v>
      </c>
      <c r="B162" s="2">
        <v>46174</v>
      </c>
      <c r="C162" t="s">
        <v>34</v>
      </c>
      <c r="D162">
        <v>184.56</v>
      </c>
      <c r="E162" s="5">
        <v>28</v>
      </c>
      <c r="I162"/>
      <c r="J162" s="5">
        <f t="shared" si="2"/>
        <v>28</v>
      </c>
    </row>
    <row r="163" spans="1:10" x14ac:dyDescent="0.25">
      <c r="A163" s="27">
        <f>_xlfn.XLOOKUP(Tabla1[[#This Row],[Descripcion]],Costos!A:A,Costos!B:B)</f>
        <v>36.413524000000002</v>
      </c>
      <c r="B163" s="2">
        <v>46174</v>
      </c>
      <c r="C163" t="s">
        <v>35</v>
      </c>
      <c r="D163">
        <v>36.413524000000002</v>
      </c>
      <c r="E163" s="5">
        <v>9893</v>
      </c>
      <c r="H163">
        <v>105</v>
      </c>
      <c r="I163" s="9">
        <v>2</v>
      </c>
      <c r="J163" s="5">
        <f t="shared" si="2"/>
        <v>9786</v>
      </c>
    </row>
    <row r="164" spans="1:10" x14ac:dyDescent="0.25">
      <c r="A164" s="27">
        <f>_xlfn.XLOOKUP(Tabla1[[#This Row],[Descripcion]],Costos!A:A,Costos!B:B)</f>
        <v>36.413524000000002</v>
      </c>
      <c r="B164" s="2">
        <v>46174</v>
      </c>
      <c r="C164" t="s">
        <v>36</v>
      </c>
      <c r="D164">
        <v>36.413524000000002</v>
      </c>
      <c r="E164" s="5">
        <v>9893</v>
      </c>
      <c r="H164">
        <v>105</v>
      </c>
      <c r="I164" s="9">
        <v>2</v>
      </c>
      <c r="J164" s="5">
        <f t="shared" si="2"/>
        <v>9786</v>
      </c>
    </row>
    <row r="165" spans="1:10" x14ac:dyDescent="0.25">
      <c r="A165" s="27">
        <f>_xlfn.XLOOKUP(Tabla1[[#This Row],[Descripcion]],Costos!A:A,Costos!B:B)</f>
        <v>1086.7487000399999</v>
      </c>
      <c r="B165" s="2">
        <v>46204</v>
      </c>
      <c r="C165" t="s">
        <v>7</v>
      </c>
      <c r="D165">
        <v>1086.7487000399999</v>
      </c>
      <c r="E165" s="5">
        <v>0</v>
      </c>
      <c r="I165"/>
      <c r="J165" s="9">
        <f t="shared" si="2"/>
        <v>0</v>
      </c>
    </row>
    <row r="166" spans="1:10" x14ac:dyDescent="0.25">
      <c r="A166" s="27">
        <f>_xlfn.XLOOKUP(Tabla1[[#This Row],[Descripcion]],Costos!A:A,Costos!B:B)</f>
        <v>349.31270000000001</v>
      </c>
      <c r="B166" s="2">
        <v>46204</v>
      </c>
      <c r="C166" t="s">
        <v>8</v>
      </c>
      <c r="D166">
        <v>349.31270000000001</v>
      </c>
      <c r="E166" s="5">
        <v>513</v>
      </c>
      <c r="H166">
        <v>1</v>
      </c>
      <c r="I166">
        <v>1</v>
      </c>
      <c r="J166" s="9">
        <f t="shared" si="2"/>
        <v>511</v>
      </c>
    </row>
    <row r="167" spans="1:10" x14ac:dyDescent="0.25">
      <c r="A167" s="27">
        <f>_xlfn.XLOOKUP(Tabla1[[#This Row],[Descripcion]],Costos!A:A,Costos!B:B)</f>
        <v>447.78148077999998</v>
      </c>
      <c r="B167" s="2">
        <v>46204</v>
      </c>
      <c r="C167" t="s">
        <v>9</v>
      </c>
      <c r="D167">
        <v>447.78148077999998</v>
      </c>
      <c r="E167" s="5">
        <v>4925</v>
      </c>
      <c r="H167">
        <v>134</v>
      </c>
      <c r="I167"/>
      <c r="J167" s="9">
        <f t="shared" si="2"/>
        <v>4791</v>
      </c>
    </row>
    <row r="168" spans="1:10" x14ac:dyDescent="0.25">
      <c r="A168" s="27">
        <f>_xlfn.XLOOKUP(Tabla1[[#This Row],[Descripcion]],Costos!A:A,Costos!B:B)</f>
        <v>451.39645788000001</v>
      </c>
      <c r="B168" s="2">
        <v>46204</v>
      </c>
      <c r="C168" t="s">
        <v>10</v>
      </c>
      <c r="D168">
        <v>451.39645788000001</v>
      </c>
      <c r="E168" s="5">
        <v>8811</v>
      </c>
      <c r="H168">
        <v>207</v>
      </c>
      <c r="I168"/>
      <c r="J168" s="9">
        <f t="shared" si="2"/>
        <v>8604</v>
      </c>
    </row>
    <row r="169" spans="1:10" x14ac:dyDescent="0.25">
      <c r="A169" s="27">
        <f>_xlfn.XLOOKUP(Tabla1[[#This Row],[Descripcion]],Costos!A:A,Costos!B:B)</f>
        <v>58.319144649999998</v>
      </c>
      <c r="B169" s="2">
        <v>46204</v>
      </c>
      <c r="C169" s="3" t="s">
        <v>11</v>
      </c>
      <c r="D169">
        <v>58.319144649999998</v>
      </c>
      <c r="E169" s="5">
        <v>18070</v>
      </c>
      <c r="G169">
        <v>7</v>
      </c>
      <c r="H169">
        <v>231</v>
      </c>
      <c r="I169">
        <v>7</v>
      </c>
      <c r="J169" s="9">
        <f t="shared" si="2"/>
        <v>17839</v>
      </c>
    </row>
    <row r="170" spans="1:10" x14ac:dyDescent="0.25">
      <c r="A170" s="27">
        <f>_xlfn.XLOOKUP(Tabla1[[#This Row],[Descripcion]],Costos!A:A,Costos!B:B)</f>
        <v>58.065091809999998</v>
      </c>
      <c r="B170" s="2">
        <v>46204</v>
      </c>
      <c r="C170" t="s">
        <v>12</v>
      </c>
      <c r="D170">
        <v>58.065091809999998</v>
      </c>
      <c r="E170" s="5">
        <v>18311</v>
      </c>
      <c r="G170">
        <v>4</v>
      </c>
      <c r="H170">
        <v>255</v>
      </c>
      <c r="I170">
        <v>9</v>
      </c>
      <c r="J170" s="9">
        <f t="shared" si="2"/>
        <v>18051</v>
      </c>
    </row>
    <row r="171" spans="1:10" x14ac:dyDescent="0.25">
      <c r="A171" s="27">
        <f>_xlfn.XLOOKUP(Tabla1[[#This Row],[Descripcion]],Costos!A:A,Costos!B:B)</f>
        <v>57.20105058</v>
      </c>
      <c r="B171" s="2">
        <v>46204</v>
      </c>
      <c r="C171" t="s">
        <v>13</v>
      </c>
      <c r="D171">
        <v>57.20105058</v>
      </c>
      <c r="E171" s="5">
        <v>6560</v>
      </c>
      <c r="G171">
        <v>2</v>
      </c>
      <c r="H171">
        <v>1019</v>
      </c>
      <c r="I171">
        <v>67</v>
      </c>
      <c r="J171" s="9">
        <f t="shared" si="2"/>
        <v>5476</v>
      </c>
    </row>
    <row r="172" spans="1:10" x14ac:dyDescent="0.25">
      <c r="A172" s="27">
        <f>_xlfn.XLOOKUP(Tabla1[[#This Row],[Descripcion]],Costos!A:A,Costos!B:B)</f>
        <v>60.761000000000003</v>
      </c>
      <c r="B172" s="2">
        <v>46204</v>
      </c>
      <c r="C172" t="s">
        <v>14</v>
      </c>
      <c r="D172">
        <v>60.761000000000003</v>
      </c>
      <c r="E172" s="5">
        <v>8266</v>
      </c>
      <c r="G172">
        <v>5</v>
      </c>
      <c r="H172">
        <v>83</v>
      </c>
      <c r="I172"/>
      <c r="J172" s="9">
        <f t="shared" si="2"/>
        <v>8188</v>
      </c>
    </row>
    <row r="173" spans="1:10" x14ac:dyDescent="0.25">
      <c r="A173" s="27">
        <f>_xlfn.XLOOKUP(Tabla1[[#This Row],[Descripcion]],Costos!A:A,Costos!B:B)</f>
        <v>465.80610001000002</v>
      </c>
      <c r="B173" s="2">
        <v>46204</v>
      </c>
      <c r="C173" t="s">
        <v>15</v>
      </c>
      <c r="D173">
        <v>465.80610001000002</v>
      </c>
      <c r="E173" s="5">
        <v>5207</v>
      </c>
      <c r="H173">
        <v>66</v>
      </c>
      <c r="I173"/>
      <c r="J173" s="9">
        <f t="shared" si="2"/>
        <v>5141</v>
      </c>
    </row>
    <row r="174" spans="1:10" x14ac:dyDescent="0.25">
      <c r="A174" s="27">
        <f>_xlfn.XLOOKUP(Tabla1[[#This Row],[Descripcion]],Costos!A:A,Costos!B:B)</f>
        <v>517.49819996999997</v>
      </c>
      <c r="B174" s="2">
        <v>46204</v>
      </c>
      <c r="C174" t="s">
        <v>6</v>
      </c>
      <c r="D174">
        <v>517.49819996999997</v>
      </c>
      <c r="E174" s="5">
        <v>7</v>
      </c>
      <c r="H174">
        <v>1</v>
      </c>
      <c r="I174"/>
      <c r="J174" s="9">
        <f t="shared" si="2"/>
        <v>6</v>
      </c>
    </row>
    <row r="175" spans="1:10" x14ac:dyDescent="0.25">
      <c r="A175" s="27">
        <f>_xlfn.XLOOKUP(Tabla1[[#This Row],[Descripcion]],Costos!A:A,Costos!B:B)</f>
        <v>154.16364960000001</v>
      </c>
      <c r="B175" s="2">
        <v>46204</v>
      </c>
      <c r="C175" t="s">
        <v>16</v>
      </c>
      <c r="D175">
        <v>154.16364960000001</v>
      </c>
      <c r="E175" s="5">
        <v>789</v>
      </c>
      <c r="H175">
        <v>70</v>
      </c>
      <c r="I175">
        <v>10</v>
      </c>
      <c r="J175" s="9">
        <f t="shared" si="2"/>
        <v>709</v>
      </c>
    </row>
    <row r="176" spans="1:10" x14ac:dyDescent="0.25">
      <c r="A176" s="27">
        <f>_xlfn.XLOOKUP(Tabla1[[#This Row],[Descripcion]],Costos!A:A,Costos!B:B)</f>
        <v>147.57659999000001</v>
      </c>
      <c r="B176" s="2">
        <v>46204</v>
      </c>
      <c r="C176" t="s">
        <v>17</v>
      </c>
      <c r="D176">
        <v>147.57659999000001</v>
      </c>
      <c r="E176" s="5">
        <v>715</v>
      </c>
      <c r="G176">
        <v>2</v>
      </c>
      <c r="H176">
        <v>54</v>
      </c>
      <c r="I176"/>
      <c r="J176" s="9">
        <f t="shared" si="2"/>
        <v>663</v>
      </c>
    </row>
    <row r="177" spans="1:10" x14ac:dyDescent="0.25">
      <c r="A177" s="27">
        <f>_xlfn.XLOOKUP(Tabla1[[#This Row],[Descripcion]],Costos!A:A,Costos!B:B)</f>
        <v>147.57659999000001</v>
      </c>
      <c r="B177" s="2">
        <v>46204</v>
      </c>
      <c r="C177" s="1" t="s">
        <v>3</v>
      </c>
      <c r="D177">
        <v>147.57659999000001</v>
      </c>
      <c r="E177" s="5">
        <v>466</v>
      </c>
      <c r="G177">
        <v>1</v>
      </c>
      <c r="H177">
        <v>57</v>
      </c>
      <c r="I177"/>
      <c r="J177" s="9">
        <f t="shared" si="2"/>
        <v>410</v>
      </c>
    </row>
    <row r="178" spans="1:10" x14ac:dyDescent="0.25">
      <c r="A178" s="27">
        <f>_xlfn.XLOOKUP(Tabla1[[#This Row],[Descripcion]],Costos!A:A,Costos!B:B)</f>
        <v>170.34</v>
      </c>
      <c r="B178" s="2">
        <v>46204</v>
      </c>
      <c r="C178" t="s">
        <v>18</v>
      </c>
      <c r="D178">
        <v>170.34</v>
      </c>
      <c r="E178" s="5">
        <v>1445</v>
      </c>
      <c r="H178">
        <v>6</v>
      </c>
      <c r="I178"/>
      <c r="J178" s="9">
        <f t="shared" si="2"/>
        <v>1439</v>
      </c>
    </row>
    <row r="179" spans="1:10" x14ac:dyDescent="0.25">
      <c r="A179" s="27">
        <f>_xlfn.XLOOKUP(Tabla1[[#This Row],[Descripcion]],Costos!A:A,Costos!B:B)</f>
        <v>434.24951347000001</v>
      </c>
      <c r="B179" s="2">
        <v>46204</v>
      </c>
      <c r="C179" t="s">
        <v>19</v>
      </c>
      <c r="D179">
        <v>434.24951347000001</v>
      </c>
      <c r="E179" s="5">
        <v>9129</v>
      </c>
      <c r="H179">
        <v>165</v>
      </c>
      <c r="I179"/>
      <c r="J179" s="9">
        <f t="shared" si="2"/>
        <v>8964</v>
      </c>
    </row>
    <row r="180" spans="1:10" x14ac:dyDescent="0.25">
      <c r="A180" s="27">
        <f>_xlfn.XLOOKUP(Tabla1[[#This Row],[Descripcion]],Costos!A:A,Costos!B:B)</f>
        <v>441.31310000000002</v>
      </c>
      <c r="B180" s="2">
        <v>46204</v>
      </c>
      <c r="C180" t="s">
        <v>27</v>
      </c>
      <c r="D180">
        <v>441.31310000000002</v>
      </c>
      <c r="E180" s="5">
        <v>5617</v>
      </c>
      <c r="H180">
        <v>269</v>
      </c>
      <c r="I180"/>
      <c r="J180" s="9">
        <f t="shared" si="2"/>
        <v>5348</v>
      </c>
    </row>
    <row r="181" spans="1:10" x14ac:dyDescent="0.25">
      <c r="A181" s="27">
        <f>_xlfn.XLOOKUP(Tabla1[[#This Row],[Descripcion]],Costos!A:A,Costos!B:B)</f>
        <v>17.9445254</v>
      </c>
      <c r="B181" s="2">
        <v>46204</v>
      </c>
      <c r="C181" t="s">
        <v>20</v>
      </c>
      <c r="D181">
        <v>17.9445254</v>
      </c>
      <c r="E181" s="5">
        <v>197558</v>
      </c>
      <c r="G181">
        <v>1</v>
      </c>
      <c r="H181">
        <v>295</v>
      </c>
      <c r="I181">
        <v>30</v>
      </c>
      <c r="J181" s="9">
        <f t="shared" si="2"/>
        <v>197234</v>
      </c>
    </row>
    <row r="182" spans="1:10" x14ac:dyDescent="0.25">
      <c r="A182" s="27">
        <f>_xlfn.XLOOKUP(Tabla1[[#This Row],[Descripcion]],Costos!A:A,Costos!B:B)</f>
        <v>57.19</v>
      </c>
      <c r="B182" s="2">
        <v>46204</v>
      </c>
      <c r="C182" t="s">
        <v>21</v>
      </c>
      <c r="D182">
        <v>57.19</v>
      </c>
      <c r="E182" s="5">
        <v>6944</v>
      </c>
      <c r="G182">
        <v>1</v>
      </c>
      <c r="H182">
        <v>111</v>
      </c>
      <c r="I182"/>
      <c r="J182" s="9">
        <f t="shared" si="2"/>
        <v>6834</v>
      </c>
    </row>
    <row r="183" spans="1:10" x14ac:dyDescent="0.25">
      <c r="A183" s="27">
        <f>_xlfn.XLOOKUP(Tabla1[[#This Row],[Descripcion]],Costos!A:A,Costos!B:B)</f>
        <v>417.75261008000001</v>
      </c>
      <c r="B183" s="2">
        <v>46204</v>
      </c>
      <c r="C183" t="s">
        <v>22</v>
      </c>
      <c r="D183">
        <v>417.75261008000001</v>
      </c>
      <c r="E183" s="5">
        <v>1435</v>
      </c>
      <c r="H183">
        <v>5</v>
      </c>
      <c r="I183"/>
      <c r="J183" s="9">
        <f t="shared" si="2"/>
        <v>1430</v>
      </c>
    </row>
    <row r="184" spans="1:10" x14ac:dyDescent="0.25">
      <c r="A184" s="27">
        <f>_xlfn.XLOOKUP(Tabla1[[#This Row],[Descripcion]],Costos!A:A,Costos!B:B)</f>
        <v>417.75261008000001</v>
      </c>
      <c r="B184" s="2">
        <v>46204</v>
      </c>
      <c r="C184" t="s">
        <v>23</v>
      </c>
      <c r="D184">
        <v>417.75261008000001</v>
      </c>
      <c r="E184" s="5">
        <v>1530</v>
      </c>
      <c r="H184">
        <v>6</v>
      </c>
      <c r="I184"/>
      <c r="J184" s="9">
        <f t="shared" si="2"/>
        <v>1524</v>
      </c>
    </row>
    <row r="185" spans="1:10" x14ac:dyDescent="0.25">
      <c r="A185" s="27">
        <f>_xlfn.XLOOKUP(Tabla1[[#This Row],[Descripcion]],Costos!A:A,Costos!B:B)</f>
        <v>417.75261008000001</v>
      </c>
      <c r="B185" s="2">
        <v>46204</v>
      </c>
      <c r="C185" t="s">
        <v>24</v>
      </c>
      <c r="D185">
        <v>417.75261008000001</v>
      </c>
      <c r="E185" s="5">
        <v>1436</v>
      </c>
      <c r="I185">
        <v>3</v>
      </c>
      <c r="J185" s="9">
        <f t="shared" si="2"/>
        <v>1433</v>
      </c>
    </row>
    <row r="186" spans="1:10" x14ac:dyDescent="0.25">
      <c r="A186" s="27">
        <f>_xlfn.XLOOKUP(Tabla1[[#This Row],[Descripcion]],Costos!A:A,Costos!B:B)</f>
        <v>417.75261008000001</v>
      </c>
      <c r="B186" s="2">
        <v>46204</v>
      </c>
      <c r="C186" t="s">
        <v>25</v>
      </c>
      <c r="D186">
        <v>417.75261008000001</v>
      </c>
      <c r="E186" s="5">
        <v>1441</v>
      </c>
      <c r="H186">
        <v>3</v>
      </c>
      <c r="I186">
        <v>3</v>
      </c>
      <c r="J186" s="9">
        <f t="shared" si="2"/>
        <v>1435</v>
      </c>
    </row>
    <row r="187" spans="1:10" x14ac:dyDescent="0.25">
      <c r="A187" s="27">
        <f>_xlfn.XLOOKUP(Tabla1[[#This Row],[Descripcion]],Costos!A:A,Costos!B:B)</f>
        <v>7.69</v>
      </c>
      <c r="B187" s="2">
        <v>46204</v>
      </c>
      <c r="C187" t="s">
        <v>33</v>
      </c>
      <c r="D187">
        <v>7.69</v>
      </c>
      <c r="E187" s="5">
        <v>21624</v>
      </c>
      <c r="I187"/>
      <c r="J187" s="9">
        <f t="shared" si="2"/>
        <v>21624</v>
      </c>
    </row>
    <row r="188" spans="1:10" x14ac:dyDescent="0.25">
      <c r="A188" s="27">
        <f>_xlfn.XLOOKUP(Tabla1[[#This Row],[Descripcion]],Costos!A:A,Costos!B:B)</f>
        <v>7.69</v>
      </c>
      <c r="B188" s="2">
        <v>46204</v>
      </c>
      <c r="C188" t="s">
        <v>26</v>
      </c>
      <c r="D188">
        <v>7.69</v>
      </c>
      <c r="E188" s="5">
        <v>1272</v>
      </c>
      <c r="I188"/>
      <c r="J188" s="9">
        <f t="shared" si="2"/>
        <v>1272</v>
      </c>
    </row>
    <row r="189" spans="1:10" x14ac:dyDescent="0.25">
      <c r="A189" s="27">
        <f>_xlfn.XLOOKUP(Tabla1[[#This Row],[Descripcion]],Costos!A:A,Costos!B:B)</f>
        <v>7.69</v>
      </c>
      <c r="B189" s="2">
        <v>46204</v>
      </c>
      <c r="C189" t="s">
        <v>29</v>
      </c>
      <c r="D189">
        <v>7.69</v>
      </c>
      <c r="E189" s="5">
        <v>96</v>
      </c>
      <c r="I189"/>
      <c r="J189" s="9">
        <f t="shared" si="2"/>
        <v>96</v>
      </c>
    </row>
    <row r="190" spans="1:10" x14ac:dyDescent="0.25">
      <c r="A190" s="27">
        <f>_xlfn.XLOOKUP(Tabla1[[#This Row],[Descripcion]],Costos!A:A,Costos!B:B)</f>
        <v>184.56</v>
      </c>
      <c r="B190" s="2">
        <v>46204</v>
      </c>
      <c r="C190" t="s">
        <v>34</v>
      </c>
      <c r="D190">
        <v>184.56</v>
      </c>
      <c r="E190" s="5">
        <v>28</v>
      </c>
      <c r="I190" s="9">
        <v>15</v>
      </c>
      <c r="J190" s="9">
        <f t="shared" si="2"/>
        <v>13</v>
      </c>
    </row>
    <row r="191" spans="1:10" x14ac:dyDescent="0.25">
      <c r="A191" s="27">
        <f>_xlfn.XLOOKUP(Tabla1[[#This Row],[Descripcion]],Costos!A:A,Costos!B:B)</f>
        <v>36.413524000000002</v>
      </c>
      <c r="B191" s="2">
        <v>46204</v>
      </c>
      <c r="C191" t="s">
        <v>35</v>
      </c>
      <c r="D191">
        <v>36.413524000000002</v>
      </c>
      <c r="E191" s="5">
        <v>9786</v>
      </c>
      <c r="H191">
        <v>101</v>
      </c>
      <c r="I191" s="9">
        <v>16</v>
      </c>
      <c r="J191" s="5">
        <f t="shared" ref="J191:J192" si="3">(E191+G191+F191)-(H191+I191)</f>
        <v>9669</v>
      </c>
    </row>
    <row r="192" spans="1:10" x14ac:dyDescent="0.25">
      <c r="A192" s="27">
        <f>_xlfn.XLOOKUP(Tabla1[[#This Row],[Descripcion]],Costos!A:A,Costos!B:B)</f>
        <v>36.413524000000002</v>
      </c>
      <c r="B192" s="2">
        <v>46204</v>
      </c>
      <c r="C192" t="s">
        <v>36</v>
      </c>
      <c r="D192">
        <v>36.413524000000002</v>
      </c>
      <c r="E192" s="5">
        <v>9786</v>
      </c>
      <c r="H192">
        <v>3</v>
      </c>
      <c r="I192" s="9">
        <v>15</v>
      </c>
      <c r="J192" s="5">
        <f t="shared" si="3"/>
        <v>9768</v>
      </c>
    </row>
    <row r="193" spans="1:10" x14ac:dyDescent="0.25">
      <c r="A193" s="27">
        <f>_xlfn.XLOOKUP(Tabla1[[#This Row],[Descripcion]],Costos!A:A,Costos!B:B)</f>
        <v>385.03773960000001</v>
      </c>
      <c r="B193" s="2">
        <v>46204</v>
      </c>
      <c r="C193" t="s">
        <v>37</v>
      </c>
      <c r="D193">
        <v>385.03773960000001</v>
      </c>
      <c r="F193">
        <v>1200</v>
      </c>
      <c r="I193">
        <v>1</v>
      </c>
      <c r="J193" s="5">
        <f>(E193+G193+F193)-(H193+I193)</f>
        <v>1199</v>
      </c>
    </row>
    <row r="194" spans="1:10" x14ac:dyDescent="0.25">
      <c r="A194" s="27">
        <f>_xlfn.XLOOKUP(Tabla1[[#This Row],[Descripcion]],Costos!A:A,Costos!B:B)</f>
        <v>385.03773960000001</v>
      </c>
      <c r="B194" s="2">
        <v>46204</v>
      </c>
      <c r="C194" t="s">
        <v>38</v>
      </c>
      <c r="D194">
        <v>385.03773960000001</v>
      </c>
      <c r="F194">
        <v>2424</v>
      </c>
      <c r="I194">
        <v>2</v>
      </c>
      <c r="J194" s="5">
        <f>(E194+G194+F194)-(H194+I194)</f>
        <v>2422</v>
      </c>
    </row>
    <row r="195" spans="1:10" x14ac:dyDescent="0.25">
      <c r="A195" s="27">
        <f>_xlfn.XLOOKUP(Tabla1[[#This Row],[Descripcion]],Costos!A:A,Costos!B:B)</f>
        <v>385.03773960000001</v>
      </c>
      <c r="B195" s="2">
        <v>46204</v>
      </c>
      <c r="C195" t="s">
        <v>39</v>
      </c>
      <c r="D195">
        <v>385.03773960000001</v>
      </c>
      <c r="F195">
        <v>2418</v>
      </c>
      <c r="I195">
        <v>1</v>
      </c>
      <c r="J195" s="5">
        <f>(E195+G195+F195)-(H195+I195)</f>
        <v>2417</v>
      </c>
    </row>
    <row r="196" spans="1:10" x14ac:dyDescent="0.25">
      <c r="A196" s="27">
        <f>_xlfn.XLOOKUP(Tabla1[[#This Row],[Descripcion]],Costos!A:A,Costos!B:B)</f>
        <v>1086.7487000399999</v>
      </c>
      <c r="B196" s="2">
        <v>46235</v>
      </c>
      <c r="C196" t="s">
        <v>7</v>
      </c>
      <c r="D196">
        <v>1086.7487000399999</v>
      </c>
      <c r="E196">
        <v>0</v>
      </c>
      <c r="I196"/>
      <c r="J196" s="5">
        <f t="shared" ref="J196:J226" si="4">(E196+G196+F196)-(H196+I196)</f>
        <v>0</v>
      </c>
    </row>
    <row r="197" spans="1:10" x14ac:dyDescent="0.25">
      <c r="A197" s="27">
        <f>_xlfn.XLOOKUP(Tabla1[[#This Row],[Descripcion]],Costos!A:A,Costos!B:B)</f>
        <v>349.31270000000001</v>
      </c>
      <c r="B197" s="2">
        <v>46235</v>
      </c>
      <c r="C197" t="s">
        <v>8</v>
      </c>
      <c r="D197">
        <v>349.31270000000001</v>
      </c>
      <c r="E197">
        <v>511</v>
      </c>
      <c r="I197"/>
      <c r="J197" s="5">
        <f t="shared" si="4"/>
        <v>511</v>
      </c>
    </row>
    <row r="198" spans="1:10" x14ac:dyDescent="0.25">
      <c r="A198" s="27">
        <f>_xlfn.XLOOKUP(Tabla1[[#This Row],[Descripcion]],Costos!A:A,Costos!B:B)</f>
        <v>447.78148077999998</v>
      </c>
      <c r="B198" s="2">
        <v>46235</v>
      </c>
      <c r="C198" t="s">
        <v>9</v>
      </c>
      <c r="D198">
        <v>447.78148077999998</v>
      </c>
      <c r="E198">
        <v>4791</v>
      </c>
      <c r="H198">
        <v>35</v>
      </c>
      <c r="I198">
        <v>1</v>
      </c>
      <c r="J198" s="5">
        <f t="shared" si="4"/>
        <v>4755</v>
      </c>
    </row>
    <row r="199" spans="1:10" x14ac:dyDescent="0.25">
      <c r="A199" s="27">
        <f>_xlfn.XLOOKUP(Tabla1[[#This Row],[Descripcion]],Costos!A:A,Costos!B:B)</f>
        <v>451.39645788000001</v>
      </c>
      <c r="B199" s="2">
        <v>46235</v>
      </c>
      <c r="C199" t="s">
        <v>10</v>
      </c>
      <c r="D199">
        <v>451.39645788000001</v>
      </c>
      <c r="E199">
        <v>8604</v>
      </c>
      <c r="H199">
        <v>76</v>
      </c>
      <c r="I199"/>
      <c r="J199" s="5">
        <f t="shared" si="4"/>
        <v>8528</v>
      </c>
    </row>
    <row r="200" spans="1:10" x14ac:dyDescent="0.25">
      <c r="A200" s="27">
        <f>_xlfn.XLOOKUP(Tabla1[[#This Row],[Descripcion]],Costos!A:A,Costos!B:B)</f>
        <v>58.319144649999998</v>
      </c>
      <c r="B200" s="2">
        <v>46235</v>
      </c>
      <c r="C200" s="3" t="s">
        <v>11</v>
      </c>
      <c r="D200">
        <v>58.319144649999998</v>
      </c>
      <c r="E200">
        <v>17839</v>
      </c>
      <c r="G200">
        <v>5</v>
      </c>
      <c r="H200">
        <v>569</v>
      </c>
      <c r="I200"/>
      <c r="J200" s="5">
        <f t="shared" si="4"/>
        <v>17275</v>
      </c>
    </row>
    <row r="201" spans="1:10" x14ac:dyDescent="0.25">
      <c r="A201" s="27">
        <f>_xlfn.XLOOKUP(Tabla1[[#This Row],[Descripcion]],Costos!A:A,Costos!B:B)</f>
        <v>58.065091809999998</v>
      </c>
      <c r="B201" s="2">
        <v>46235</v>
      </c>
      <c r="C201" t="s">
        <v>12</v>
      </c>
      <c r="D201">
        <v>58.065091809999998</v>
      </c>
      <c r="E201">
        <v>18051</v>
      </c>
      <c r="G201">
        <v>6</v>
      </c>
      <c r="H201">
        <v>402</v>
      </c>
      <c r="I201"/>
      <c r="J201" s="5">
        <f t="shared" si="4"/>
        <v>17655</v>
      </c>
    </row>
    <row r="202" spans="1:10" x14ac:dyDescent="0.25">
      <c r="A202" s="27">
        <f>_xlfn.XLOOKUP(Tabla1[[#This Row],[Descripcion]],Costos!A:A,Costos!B:B)</f>
        <v>57.20105058</v>
      </c>
      <c r="B202" s="2">
        <v>46235</v>
      </c>
      <c r="C202" t="s">
        <v>13</v>
      </c>
      <c r="D202">
        <v>57.20105058</v>
      </c>
      <c r="E202">
        <v>5476</v>
      </c>
      <c r="G202">
        <v>3</v>
      </c>
      <c r="H202">
        <v>2657</v>
      </c>
      <c r="I202">
        <v>9</v>
      </c>
      <c r="J202" s="5">
        <f t="shared" si="4"/>
        <v>2813</v>
      </c>
    </row>
    <row r="203" spans="1:10" x14ac:dyDescent="0.25">
      <c r="A203" s="27">
        <f>_xlfn.XLOOKUP(Tabla1[[#This Row],[Descripcion]],Costos!A:A,Costos!B:B)</f>
        <v>60.761000000000003</v>
      </c>
      <c r="B203" s="2">
        <v>46235</v>
      </c>
      <c r="C203" t="s">
        <v>14</v>
      </c>
      <c r="D203">
        <v>60.761000000000003</v>
      </c>
      <c r="E203">
        <v>8188</v>
      </c>
      <c r="G203">
        <v>2</v>
      </c>
      <c r="H203">
        <v>42</v>
      </c>
      <c r="I203">
        <v>5</v>
      </c>
      <c r="J203" s="5">
        <f t="shared" si="4"/>
        <v>8143</v>
      </c>
    </row>
    <row r="204" spans="1:10" x14ac:dyDescent="0.25">
      <c r="A204" s="27">
        <f>_xlfn.XLOOKUP(Tabla1[[#This Row],[Descripcion]],Costos!A:A,Costos!B:B)</f>
        <v>465.80610001000002</v>
      </c>
      <c r="B204" s="2">
        <v>46235</v>
      </c>
      <c r="C204" t="s">
        <v>15</v>
      </c>
      <c r="D204">
        <v>465.80610001000002</v>
      </c>
      <c r="E204">
        <v>5141</v>
      </c>
      <c r="H204">
        <v>9</v>
      </c>
      <c r="I204"/>
      <c r="J204" s="5">
        <f t="shared" si="4"/>
        <v>5132</v>
      </c>
    </row>
    <row r="205" spans="1:10" x14ac:dyDescent="0.25">
      <c r="A205" s="27">
        <f>_xlfn.XLOOKUP(Tabla1[[#This Row],[Descripcion]],Costos!A:A,Costos!B:B)</f>
        <v>517.49819996999997</v>
      </c>
      <c r="B205" s="2">
        <v>46235</v>
      </c>
      <c r="C205" t="s">
        <v>6</v>
      </c>
      <c r="D205">
        <v>517.49819996999997</v>
      </c>
      <c r="E205">
        <v>6</v>
      </c>
      <c r="H205">
        <v>3</v>
      </c>
      <c r="I205"/>
      <c r="J205" s="5">
        <f t="shared" si="4"/>
        <v>3</v>
      </c>
    </row>
    <row r="206" spans="1:10" x14ac:dyDescent="0.25">
      <c r="A206" s="27">
        <f>_xlfn.XLOOKUP(Tabla1[[#This Row],[Descripcion]],Costos!A:A,Costos!B:B)</f>
        <v>154.16364960000001</v>
      </c>
      <c r="B206" s="2">
        <v>46235</v>
      </c>
      <c r="C206" t="s">
        <v>16</v>
      </c>
      <c r="D206">
        <v>154.16364960000001</v>
      </c>
      <c r="E206">
        <v>709</v>
      </c>
      <c r="H206">
        <v>63</v>
      </c>
      <c r="I206"/>
      <c r="J206" s="5">
        <f t="shared" si="4"/>
        <v>646</v>
      </c>
    </row>
    <row r="207" spans="1:10" x14ac:dyDescent="0.25">
      <c r="A207" s="27">
        <f>_xlfn.XLOOKUP(Tabla1[[#This Row],[Descripcion]],Costos!A:A,Costos!B:B)</f>
        <v>147.57659999000001</v>
      </c>
      <c r="B207" s="2">
        <v>46235</v>
      </c>
      <c r="C207" t="s">
        <v>17</v>
      </c>
      <c r="D207">
        <v>147.57659999000001</v>
      </c>
      <c r="E207">
        <v>663</v>
      </c>
      <c r="H207">
        <v>52</v>
      </c>
      <c r="I207"/>
      <c r="J207" s="5">
        <f t="shared" si="4"/>
        <v>611</v>
      </c>
    </row>
    <row r="208" spans="1:10" x14ac:dyDescent="0.25">
      <c r="A208" s="27">
        <f>_xlfn.XLOOKUP(Tabla1[[#This Row],[Descripcion]],Costos!A:A,Costos!B:B)</f>
        <v>147.57659999000001</v>
      </c>
      <c r="B208" s="2">
        <v>46235</v>
      </c>
      <c r="C208" s="1" t="s">
        <v>3</v>
      </c>
      <c r="D208">
        <v>147.57659999000001</v>
      </c>
      <c r="E208">
        <v>410</v>
      </c>
      <c r="G208">
        <v>1</v>
      </c>
      <c r="H208">
        <v>64</v>
      </c>
      <c r="I208"/>
      <c r="J208" s="5">
        <f t="shared" si="4"/>
        <v>347</v>
      </c>
    </row>
    <row r="209" spans="1:10" x14ac:dyDescent="0.25">
      <c r="A209" s="27">
        <f>_xlfn.XLOOKUP(Tabla1[[#This Row],[Descripcion]],Costos!A:A,Costos!B:B)</f>
        <v>170.34</v>
      </c>
      <c r="B209" s="2">
        <v>46235</v>
      </c>
      <c r="C209" t="s">
        <v>18</v>
      </c>
      <c r="D209">
        <v>170.34</v>
      </c>
      <c r="E209">
        <v>1439</v>
      </c>
      <c r="H209">
        <v>7</v>
      </c>
      <c r="I209"/>
      <c r="J209" s="5">
        <f t="shared" si="4"/>
        <v>1432</v>
      </c>
    </row>
    <row r="210" spans="1:10" x14ac:dyDescent="0.25">
      <c r="A210" s="27">
        <f>_xlfn.XLOOKUP(Tabla1[[#This Row],[Descripcion]],Costos!A:A,Costos!B:B)</f>
        <v>434.24951347000001</v>
      </c>
      <c r="B210" s="2">
        <v>46235</v>
      </c>
      <c r="C210" t="s">
        <v>19</v>
      </c>
      <c r="D210">
        <v>434.24951347000001</v>
      </c>
      <c r="E210">
        <v>8964</v>
      </c>
      <c r="H210">
        <v>150</v>
      </c>
      <c r="I210"/>
      <c r="J210" s="5">
        <f t="shared" si="4"/>
        <v>8814</v>
      </c>
    </row>
    <row r="211" spans="1:10" x14ac:dyDescent="0.25">
      <c r="A211" s="27">
        <f>_xlfn.XLOOKUP(Tabla1[[#This Row],[Descripcion]],Costos!A:A,Costos!B:B)</f>
        <v>441.31310000000002</v>
      </c>
      <c r="B211" s="2">
        <v>46235</v>
      </c>
      <c r="C211" t="s">
        <v>27</v>
      </c>
      <c r="D211">
        <v>441.31310000000002</v>
      </c>
      <c r="E211">
        <v>5348</v>
      </c>
      <c r="H211">
        <v>129</v>
      </c>
      <c r="I211"/>
      <c r="J211" s="5">
        <f t="shared" si="4"/>
        <v>5219</v>
      </c>
    </row>
    <row r="212" spans="1:10" x14ac:dyDescent="0.25">
      <c r="A212" s="27">
        <f>_xlfn.XLOOKUP(Tabla1[[#This Row],[Descripcion]],Costos!A:A,Costos!B:B)</f>
        <v>17.9445254</v>
      </c>
      <c r="B212" s="2">
        <v>46235</v>
      </c>
      <c r="C212" t="s">
        <v>20</v>
      </c>
      <c r="D212">
        <v>17.9445254</v>
      </c>
      <c r="E212">
        <v>197234</v>
      </c>
      <c r="H212">
        <v>359</v>
      </c>
      <c r="I212"/>
      <c r="J212" s="5">
        <f t="shared" si="4"/>
        <v>196875</v>
      </c>
    </row>
    <row r="213" spans="1:10" x14ac:dyDescent="0.25">
      <c r="A213" s="27">
        <f>_xlfn.XLOOKUP(Tabla1[[#This Row],[Descripcion]],Costos!A:A,Costos!B:B)</f>
        <v>57.19</v>
      </c>
      <c r="B213" s="2">
        <v>46235</v>
      </c>
      <c r="C213" t="s">
        <v>21</v>
      </c>
      <c r="D213">
        <v>57.19</v>
      </c>
      <c r="E213">
        <v>6834</v>
      </c>
      <c r="H213">
        <v>84</v>
      </c>
      <c r="I213"/>
      <c r="J213" s="5">
        <f t="shared" si="4"/>
        <v>6750</v>
      </c>
    </row>
    <row r="214" spans="1:10" x14ac:dyDescent="0.25">
      <c r="A214" s="27">
        <f>_xlfn.XLOOKUP(Tabla1[[#This Row],[Descripcion]],Costos!A:A,Costos!B:B)</f>
        <v>417.75261008000001</v>
      </c>
      <c r="B214" s="2">
        <v>46235</v>
      </c>
      <c r="C214" t="s">
        <v>22</v>
      </c>
      <c r="D214">
        <v>417.75261008000001</v>
      </c>
      <c r="E214">
        <v>1430</v>
      </c>
      <c r="H214">
        <v>2</v>
      </c>
      <c r="I214"/>
      <c r="J214" s="5">
        <f t="shared" si="4"/>
        <v>1428</v>
      </c>
    </row>
    <row r="215" spans="1:10" x14ac:dyDescent="0.25">
      <c r="A215" s="27">
        <f>_xlfn.XLOOKUP(Tabla1[[#This Row],[Descripcion]],Costos!A:A,Costos!B:B)</f>
        <v>417.75261008000001</v>
      </c>
      <c r="B215" s="2">
        <v>46235</v>
      </c>
      <c r="C215" t="s">
        <v>23</v>
      </c>
      <c r="D215">
        <v>417.75261008000001</v>
      </c>
      <c r="E215">
        <v>1524</v>
      </c>
      <c r="G215">
        <v>1</v>
      </c>
      <c r="I215"/>
      <c r="J215" s="5">
        <f t="shared" si="4"/>
        <v>1525</v>
      </c>
    </row>
    <row r="216" spans="1:10" x14ac:dyDescent="0.25">
      <c r="A216" s="27">
        <f>_xlfn.XLOOKUP(Tabla1[[#This Row],[Descripcion]],Costos!A:A,Costos!B:B)</f>
        <v>417.75261008000001</v>
      </c>
      <c r="B216" s="2">
        <v>46235</v>
      </c>
      <c r="C216" t="s">
        <v>24</v>
      </c>
      <c r="D216">
        <v>417.75261008000001</v>
      </c>
      <c r="E216">
        <v>1433</v>
      </c>
      <c r="G216">
        <v>1</v>
      </c>
      <c r="H216">
        <v>4</v>
      </c>
      <c r="I216"/>
      <c r="J216" s="5">
        <f t="shared" si="4"/>
        <v>1430</v>
      </c>
    </row>
    <row r="217" spans="1:10" x14ac:dyDescent="0.25">
      <c r="A217" s="27">
        <f>_xlfn.XLOOKUP(Tabla1[[#This Row],[Descripcion]],Costos!A:A,Costos!B:B)</f>
        <v>417.75261008000001</v>
      </c>
      <c r="B217" s="2">
        <v>46235</v>
      </c>
      <c r="C217" t="s">
        <v>25</v>
      </c>
      <c r="D217">
        <v>417.75261008000001</v>
      </c>
      <c r="E217">
        <v>1435</v>
      </c>
      <c r="H217">
        <v>1</v>
      </c>
      <c r="I217"/>
      <c r="J217" s="5">
        <f t="shared" si="4"/>
        <v>1434</v>
      </c>
    </row>
    <row r="218" spans="1:10" x14ac:dyDescent="0.25">
      <c r="A218" s="27">
        <f>_xlfn.XLOOKUP(Tabla1[[#This Row],[Descripcion]],Costos!A:A,Costos!B:B)</f>
        <v>7.69</v>
      </c>
      <c r="B218" s="2">
        <v>46235</v>
      </c>
      <c r="C218" t="s">
        <v>33</v>
      </c>
      <c r="D218">
        <v>7.69</v>
      </c>
      <c r="E218">
        <v>21624</v>
      </c>
      <c r="H218">
        <v>85</v>
      </c>
      <c r="I218">
        <v>18</v>
      </c>
      <c r="J218" s="5">
        <f t="shared" si="4"/>
        <v>21521</v>
      </c>
    </row>
    <row r="219" spans="1:10" x14ac:dyDescent="0.25">
      <c r="A219" s="27">
        <f>_xlfn.XLOOKUP(Tabla1[[#This Row],[Descripcion]],Costos!A:A,Costos!B:B)</f>
        <v>7.69</v>
      </c>
      <c r="B219" s="2">
        <v>46235</v>
      </c>
      <c r="C219" t="s">
        <v>26</v>
      </c>
      <c r="D219">
        <v>7.69</v>
      </c>
      <c r="E219">
        <v>1272</v>
      </c>
      <c r="G219">
        <v>4320</v>
      </c>
      <c r="I219">
        <v>24</v>
      </c>
      <c r="J219" s="5">
        <f t="shared" si="4"/>
        <v>5568</v>
      </c>
    </row>
    <row r="220" spans="1:10" x14ac:dyDescent="0.25">
      <c r="A220" s="27">
        <f>_xlfn.XLOOKUP(Tabla1[[#This Row],[Descripcion]],Costos!A:A,Costos!B:B)</f>
        <v>7.69</v>
      </c>
      <c r="B220" s="2">
        <v>46235</v>
      </c>
      <c r="C220" t="s">
        <v>29</v>
      </c>
      <c r="D220">
        <v>7.69</v>
      </c>
      <c r="E220">
        <v>96</v>
      </c>
      <c r="I220"/>
      <c r="J220" s="5">
        <f t="shared" si="4"/>
        <v>96</v>
      </c>
    </row>
    <row r="221" spans="1:10" x14ac:dyDescent="0.25">
      <c r="A221" s="27">
        <f>_xlfn.XLOOKUP(Tabla1[[#This Row],[Descripcion]],Costos!A:A,Costos!B:B)</f>
        <v>184.56</v>
      </c>
      <c r="B221" s="2">
        <v>46235</v>
      </c>
      <c r="C221" t="s">
        <v>34</v>
      </c>
      <c r="D221">
        <v>184.56</v>
      </c>
      <c r="E221">
        <v>13</v>
      </c>
      <c r="G221">
        <v>3450</v>
      </c>
      <c r="I221"/>
      <c r="J221" s="5">
        <f t="shared" si="4"/>
        <v>3463</v>
      </c>
    </row>
    <row r="222" spans="1:10" x14ac:dyDescent="0.25">
      <c r="A222" s="27">
        <f>_xlfn.XLOOKUP(Tabla1[[#This Row],[Descripcion]],Costos!A:A,Costos!B:B)</f>
        <v>36.413524000000002</v>
      </c>
      <c r="B222" s="2">
        <v>46235</v>
      </c>
      <c r="C222" t="s">
        <v>35</v>
      </c>
      <c r="D222">
        <v>36.413524000000002</v>
      </c>
      <c r="E222">
        <v>9669</v>
      </c>
      <c r="G222">
        <v>4</v>
      </c>
      <c r="H222">
        <v>12</v>
      </c>
      <c r="I222">
        <v>11</v>
      </c>
      <c r="J222" s="5">
        <f t="shared" si="4"/>
        <v>9650</v>
      </c>
    </row>
    <row r="223" spans="1:10" x14ac:dyDescent="0.25">
      <c r="A223" s="27">
        <f>_xlfn.XLOOKUP(Tabla1[[#This Row],[Descripcion]],Costos!A:A,Costos!B:B)</f>
        <v>36.413524000000002</v>
      </c>
      <c r="B223" s="2">
        <v>46235</v>
      </c>
      <c r="C223" t="s">
        <v>36</v>
      </c>
      <c r="D223">
        <v>36.413524000000002</v>
      </c>
      <c r="E223">
        <v>9768</v>
      </c>
      <c r="G223">
        <v>3</v>
      </c>
      <c r="H223">
        <v>207</v>
      </c>
      <c r="I223">
        <v>11</v>
      </c>
      <c r="J223" s="5">
        <f t="shared" si="4"/>
        <v>9553</v>
      </c>
    </row>
    <row r="224" spans="1:10" x14ac:dyDescent="0.25">
      <c r="A224" s="27">
        <f>_xlfn.XLOOKUP(Tabla1[[#This Row],[Descripcion]],Costos!A:A,Costos!B:B)</f>
        <v>385.03773960000001</v>
      </c>
      <c r="B224" s="2">
        <v>46235</v>
      </c>
      <c r="C224" t="s">
        <v>37</v>
      </c>
      <c r="D224">
        <v>385.03773960000001</v>
      </c>
      <c r="E224">
        <v>1199</v>
      </c>
      <c r="I224"/>
      <c r="J224" s="5">
        <f t="shared" si="4"/>
        <v>1199</v>
      </c>
    </row>
    <row r="225" spans="1:10" x14ac:dyDescent="0.25">
      <c r="A225" s="27">
        <f>_xlfn.XLOOKUP(Tabla1[[#This Row],[Descripcion]],Costos!A:A,Costos!B:B)</f>
        <v>385.03773960000001</v>
      </c>
      <c r="B225" s="2">
        <v>46235</v>
      </c>
      <c r="C225" t="s">
        <v>38</v>
      </c>
      <c r="D225">
        <v>385.03773960000001</v>
      </c>
      <c r="E225">
        <v>2422</v>
      </c>
      <c r="I225"/>
      <c r="J225" s="5">
        <f t="shared" si="4"/>
        <v>2422</v>
      </c>
    </row>
    <row r="226" spans="1:10" x14ac:dyDescent="0.25">
      <c r="A226" s="27">
        <f>_xlfn.XLOOKUP(Tabla1[[#This Row],[Descripcion]],Costos!A:A,Costos!B:B)</f>
        <v>385.03773960000001</v>
      </c>
      <c r="B226" s="2">
        <v>46235</v>
      </c>
      <c r="C226" t="s">
        <v>39</v>
      </c>
      <c r="D226">
        <v>385.03773960000001</v>
      </c>
      <c r="E226">
        <v>2417</v>
      </c>
      <c r="I226"/>
      <c r="J226" s="5">
        <f t="shared" si="4"/>
        <v>2417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CE98-80CD-496E-96D7-681483A73C9F}">
  <dimension ref="A1:D33"/>
  <sheetViews>
    <sheetView topLeftCell="A16" workbookViewId="0">
      <selection activeCell="F30" sqref="F30"/>
    </sheetView>
  </sheetViews>
  <sheetFormatPr baseColWidth="10" defaultRowHeight="15" x14ac:dyDescent="0.25"/>
  <cols>
    <col min="1" max="1" width="46" bestFit="1" customWidth="1"/>
    <col min="2" max="2" width="15.42578125" customWidth="1"/>
  </cols>
  <sheetData>
    <row r="1" spans="1:3" x14ac:dyDescent="0.25">
      <c r="A1" t="s">
        <v>40</v>
      </c>
      <c r="B1" t="s">
        <v>41</v>
      </c>
    </row>
    <row r="2" spans="1:3" x14ac:dyDescent="0.25">
      <c r="A2" s="12" t="s">
        <v>7</v>
      </c>
      <c r="B2" s="15">
        <v>1086.7487000399999</v>
      </c>
    </row>
    <row r="3" spans="1:3" x14ac:dyDescent="0.25">
      <c r="A3" s="11" t="s">
        <v>8</v>
      </c>
      <c r="B3" s="15">
        <v>349.31270000000001</v>
      </c>
    </row>
    <row r="4" spans="1:3" x14ac:dyDescent="0.25">
      <c r="A4" s="12" t="s">
        <v>9</v>
      </c>
      <c r="B4" s="15">
        <v>447.78148077999998</v>
      </c>
    </row>
    <row r="5" spans="1:3" x14ac:dyDescent="0.25">
      <c r="A5" s="11" t="s">
        <v>10</v>
      </c>
      <c r="B5" s="15">
        <v>451.39645788000001</v>
      </c>
    </row>
    <row r="6" spans="1:3" x14ac:dyDescent="0.25">
      <c r="A6" s="13" t="s">
        <v>11</v>
      </c>
      <c r="B6" s="15">
        <v>58.319144649999998</v>
      </c>
    </row>
    <row r="7" spans="1:3" x14ac:dyDescent="0.25">
      <c r="A7" s="11" t="s">
        <v>12</v>
      </c>
      <c r="B7" s="15">
        <v>58.065091809999998</v>
      </c>
    </row>
    <row r="8" spans="1:3" x14ac:dyDescent="0.25">
      <c r="A8" s="12" t="s">
        <v>13</v>
      </c>
      <c r="B8" s="15">
        <v>57.20105058</v>
      </c>
    </row>
    <row r="9" spans="1:3" x14ac:dyDescent="0.25">
      <c r="A9" s="11" t="s">
        <v>14</v>
      </c>
      <c r="B9" s="15">
        <v>60.761000000000003</v>
      </c>
    </row>
    <row r="10" spans="1:3" x14ac:dyDescent="0.25">
      <c r="A10" s="12" t="s">
        <v>15</v>
      </c>
      <c r="B10" s="15">
        <v>465.80610001000002</v>
      </c>
    </row>
    <row r="11" spans="1:3" x14ac:dyDescent="0.25">
      <c r="A11" s="11" t="s">
        <v>6</v>
      </c>
      <c r="B11" s="15">
        <v>517.49819996999997</v>
      </c>
    </row>
    <row r="12" spans="1:3" x14ac:dyDescent="0.25">
      <c r="A12" s="12" t="s">
        <v>16</v>
      </c>
      <c r="B12" s="15">
        <v>154.16364960000001</v>
      </c>
    </row>
    <row r="13" spans="1:3" x14ac:dyDescent="0.25">
      <c r="A13" s="11" t="s">
        <v>17</v>
      </c>
      <c r="B13" s="15">
        <v>147.57659999000001</v>
      </c>
    </row>
    <row r="14" spans="1:3" x14ac:dyDescent="0.25">
      <c r="A14" s="14" t="s">
        <v>3</v>
      </c>
      <c r="B14" s="15">
        <v>147.57659999000001</v>
      </c>
    </row>
    <row r="15" spans="1:3" x14ac:dyDescent="0.25">
      <c r="A15" s="11" t="s">
        <v>18</v>
      </c>
      <c r="B15" s="15">
        <v>170.34</v>
      </c>
    </row>
    <row r="16" spans="1:3" x14ac:dyDescent="0.25">
      <c r="A16" s="12" t="s">
        <v>19</v>
      </c>
      <c r="B16" s="15">
        <v>434.24951347000001</v>
      </c>
      <c r="C16" s="1"/>
    </row>
    <row r="17" spans="1:4" x14ac:dyDescent="0.25">
      <c r="A17" s="11" t="s">
        <v>27</v>
      </c>
      <c r="B17" s="15">
        <v>441.31310000000002</v>
      </c>
    </row>
    <row r="18" spans="1:4" x14ac:dyDescent="0.25">
      <c r="A18" s="12" t="s">
        <v>20</v>
      </c>
      <c r="B18" s="15">
        <v>17.9445254</v>
      </c>
    </row>
    <row r="19" spans="1:4" x14ac:dyDescent="0.25">
      <c r="A19" s="11" t="s">
        <v>21</v>
      </c>
      <c r="B19" s="15">
        <v>57.19</v>
      </c>
    </row>
    <row r="20" spans="1:4" x14ac:dyDescent="0.25">
      <c r="A20" s="12" t="s">
        <v>22</v>
      </c>
      <c r="B20" s="15">
        <v>417.75261008000001</v>
      </c>
    </row>
    <row r="21" spans="1:4" x14ac:dyDescent="0.25">
      <c r="A21" s="11" t="s">
        <v>23</v>
      </c>
      <c r="B21" s="15">
        <v>417.75261008000001</v>
      </c>
    </row>
    <row r="22" spans="1:4" x14ac:dyDescent="0.25">
      <c r="A22" s="12" t="s">
        <v>24</v>
      </c>
      <c r="B22" s="15">
        <v>417.75261008000001</v>
      </c>
    </row>
    <row r="23" spans="1:4" x14ac:dyDescent="0.25">
      <c r="A23" s="11" t="s">
        <v>25</v>
      </c>
      <c r="B23" s="15">
        <v>417.75261008000001</v>
      </c>
    </row>
    <row r="24" spans="1:4" x14ac:dyDescent="0.25">
      <c r="A24" s="12" t="s">
        <v>33</v>
      </c>
      <c r="B24" s="15">
        <v>7.69</v>
      </c>
    </row>
    <row r="25" spans="1:4" x14ac:dyDescent="0.25">
      <c r="A25" s="11" t="s">
        <v>26</v>
      </c>
      <c r="B25" s="15">
        <v>7.69</v>
      </c>
      <c r="D25" s="1"/>
    </row>
    <row r="26" spans="1:4" x14ac:dyDescent="0.25">
      <c r="A26" s="12" t="s">
        <v>29</v>
      </c>
      <c r="B26" s="15">
        <v>7.69</v>
      </c>
    </row>
    <row r="27" spans="1:4" x14ac:dyDescent="0.25">
      <c r="A27" s="11" t="s">
        <v>34</v>
      </c>
      <c r="B27" s="15">
        <v>184.56</v>
      </c>
    </row>
    <row r="28" spans="1:4" x14ac:dyDescent="0.25">
      <c r="A28" s="12" t="s">
        <v>35</v>
      </c>
      <c r="B28" s="15">
        <v>36.413524000000002</v>
      </c>
    </row>
    <row r="29" spans="1:4" x14ac:dyDescent="0.25">
      <c r="A29" s="11" t="s">
        <v>36</v>
      </c>
      <c r="B29" s="15">
        <v>36.413524000000002</v>
      </c>
    </row>
    <row r="30" spans="1:4" x14ac:dyDescent="0.25">
      <c r="A30" s="12" t="s">
        <v>37</v>
      </c>
      <c r="B30" s="15">
        <v>385.03773960000001</v>
      </c>
    </row>
    <row r="31" spans="1:4" x14ac:dyDescent="0.25">
      <c r="A31" s="11" t="s">
        <v>38</v>
      </c>
      <c r="B31" s="15">
        <v>385.03773960000001</v>
      </c>
    </row>
    <row r="32" spans="1:4" x14ac:dyDescent="0.25">
      <c r="A32" s="12" t="s">
        <v>39</v>
      </c>
      <c r="B32" s="15">
        <v>385.03773960000001</v>
      </c>
    </row>
    <row r="33" spans="1:2" x14ac:dyDescent="0.25">
      <c r="A33" s="12" t="s">
        <v>28</v>
      </c>
      <c r="B33" s="15">
        <v>441.31310000000002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AE44-72BA-4012-8FBE-1CC4CCC4095C}">
  <dimension ref="A3:O159"/>
  <sheetViews>
    <sheetView tabSelected="1" topLeftCell="A3" workbookViewId="0">
      <pane ySplit="1" topLeftCell="A111" activePane="bottomLeft" state="frozen"/>
      <selection activeCell="A3" sqref="A3"/>
      <selection pane="bottomLeft" activeCell="A119" sqref="A119:XFD119"/>
    </sheetView>
  </sheetViews>
  <sheetFormatPr baseColWidth="10" defaultRowHeight="15" x14ac:dyDescent="0.25"/>
  <cols>
    <col min="2" max="2" width="46.28515625" customWidth="1"/>
    <col min="3" max="3" width="0" hidden="1" customWidth="1"/>
    <col min="5" max="5" width="11.42578125" style="20"/>
    <col min="9" max="9" width="17.85546875" customWidth="1"/>
    <col min="10" max="10" width="11.42578125" style="24"/>
    <col min="12" max="12" width="13.140625" customWidth="1"/>
  </cols>
  <sheetData>
    <row r="3" spans="1:13" ht="45" x14ac:dyDescent="0.25">
      <c r="A3" s="16" t="s">
        <v>0</v>
      </c>
      <c r="B3" s="17" t="s">
        <v>2</v>
      </c>
      <c r="C3" s="17" t="s">
        <v>42</v>
      </c>
      <c r="D3" s="17" t="s">
        <v>4</v>
      </c>
      <c r="E3" s="19" t="s">
        <v>31</v>
      </c>
      <c r="F3" s="17" t="s">
        <v>32</v>
      </c>
      <c r="G3" s="17" t="s">
        <v>52</v>
      </c>
      <c r="H3" s="17" t="s">
        <v>59</v>
      </c>
      <c r="I3" s="17" t="s">
        <v>60</v>
      </c>
      <c r="J3" s="17" t="s">
        <v>1</v>
      </c>
      <c r="K3" s="17" t="s">
        <v>30</v>
      </c>
      <c r="L3" s="17" t="s">
        <v>56</v>
      </c>
      <c r="M3" s="18" t="s">
        <v>5</v>
      </c>
    </row>
    <row r="4" spans="1:13" x14ac:dyDescent="0.25">
      <c r="A4" s="2">
        <v>45658</v>
      </c>
      <c r="B4" s="11" t="s">
        <v>7</v>
      </c>
      <c r="E4" s="20">
        <v>347</v>
      </c>
      <c r="M4">
        <f>SUM(D4:H4)-SUM(J4:L4)</f>
        <v>347</v>
      </c>
    </row>
    <row r="5" spans="1:13" x14ac:dyDescent="0.25">
      <c r="A5" s="2">
        <v>45658</v>
      </c>
      <c r="B5" t="s">
        <v>43</v>
      </c>
      <c r="E5" s="20">
        <v>844</v>
      </c>
      <c r="M5">
        <f t="shared" ref="M5:M68" si="0">SUM(D5:H5)-SUM(J5:L5)</f>
        <v>844</v>
      </c>
    </row>
    <row r="6" spans="1:13" x14ac:dyDescent="0.25">
      <c r="A6" s="2">
        <v>45658</v>
      </c>
      <c r="B6" t="s">
        <v>9</v>
      </c>
      <c r="E6" s="20">
        <v>3844</v>
      </c>
      <c r="M6">
        <f t="shared" si="0"/>
        <v>3844</v>
      </c>
    </row>
    <row r="7" spans="1:13" x14ac:dyDescent="0.25">
      <c r="A7" s="2">
        <v>45658</v>
      </c>
      <c r="B7" t="s">
        <v>44</v>
      </c>
      <c r="E7" s="20">
        <v>32</v>
      </c>
      <c r="M7">
        <f t="shared" si="0"/>
        <v>32</v>
      </c>
    </row>
    <row r="8" spans="1:13" x14ac:dyDescent="0.25">
      <c r="A8" s="2">
        <v>45658</v>
      </c>
      <c r="B8" t="s">
        <v>11</v>
      </c>
      <c r="E8" s="20">
        <v>8483</v>
      </c>
      <c r="M8">
        <f t="shared" si="0"/>
        <v>8483</v>
      </c>
    </row>
    <row r="9" spans="1:13" x14ac:dyDescent="0.25">
      <c r="A9" s="2">
        <v>45658</v>
      </c>
      <c r="B9" t="s">
        <v>45</v>
      </c>
      <c r="E9" s="20">
        <v>7278</v>
      </c>
      <c r="M9">
        <f t="shared" si="0"/>
        <v>7278</v>
      </c>
    </row>
    <row r="10" spans="1:13" x14ac:dyDescent="0.25">
      <c r="A10" s="2">
        <v>45658</v>
      </c>
      <c r="B10" t="s">
        <v>46</v>
      </c>
      <c r="E10" s="20">
        <v>105</v>
      </c>
      <c r="M10">
        <f t="shared" si="0"/>
        <v>105</v>
      </c>
    </row>
    <row r="11" spans="1:13" x14ac:dyDescent="0.25">
      <c r="A11" s="2">
        <v>45658</v>
      </c>
      <c r="B11" t="s">
        <v>47</v>
      </c>
      <c r="E11" s="20">
        <v>9706</v>
      </c>
      <c r="M11">
        <f t="shared" si="0"/>
        <v>9706</v>
      </c>
    </row>
    <row r="12" spans="1:13" x14ac:dyDescent="0.25">
      <c r="A12" s="2">
        <v>45658</v>
      </c>
      <c r="B12" t="s">
        <v>48</v>
      </c>
      <c r="E12" s="20">
        <v>6102</v>
      </c>
      <c r="M12">
        <f t="shared" si="0"/>
        <v>6102</v>
      </c>
    </row>
    <row r="13" spans="1:13" x14ac:dyDescent="0.25">
      <c r="A13" s="2">
        <v>45658</v>
      </c>
      <c r="B13" t="s">
        <v>6</v>
      </c>
      <c r="E13" s="20">
        <v>440</v>
      </c>
      <c r="M13">
        <f t="shared" si="0"/>
        <v>440</v>
      </c>
    </row>
    <row r="14" spans="1:13" x14ac:dyDescent="0.25">
      <c r="A14" s="2">
        <v>45658</v>
      </c>
      <c r="B14" t="s">
        <v>16</v>
      </c>
      <c r="E14" s="20">
        <v>973</v>
      </c>
      <c r="M14">
        <f t="shared" si="0"/>
        <v>973</v>
      </c>
    </row>
    <row r="15" spans="1:13" x14ac:dyDescent="0.25">
      <c r="A15" s="2">
        <v>45658</v>
      </c>
      <c r="B15" t="s">
        <v>49</v>
      </c>
      <c r="E15" s="20">
        <v>973</v>
      </c>
      <c r="M15">
        <f t="shared" si="0"/>
        <v>973</v>
      </c>
    </row>
    <row r="16" spans="1:13" x14ac:dyDescent="0.25">
      <c r="A16" s="2">
        <v>45658</v>
      </c>
      <c r="B16" t="s">
        <v>3</v>
      </c>
      <c r="E16" s="20">
        <v>885</v>
      </c>
      <c r="M16">
        <f t="shared" si="0"/>
        <v>885</v>
      </c>
    </row>
    <row r="17" spans="1:13" x14ac:dyDescent="0.25">
      <c r="A17" s="2">
        <v>45658</v>
      </c>
      <c r="B17" t="s">
        <v>50</v>
      </c>
      <c r="E17" s="20">
        <v>1490</v>
      </c>
      <c r="M17">
        <f t="shared" si="0"/>
        <v>1490</v>
      </c>
    </row>
    <row r="18" spans="1:13" x14ac:dyDescent="0.25">
      <c r="A18" s="2">
        <v>45658</v>
      </c>
      <c r="B18" t="s">
        <v>19</v>
      </c>
      <c r="E18" s="20">
        <v>1243</v>
      </c>
      <c r="M18">
        <f t="shared" si="0"/>
        <v>1243</v>
      </c>
    </row>
    <row r="19" spans="1:13" x14ac:dyDescent="0.25">
      <c r="A19" s="2">
        <v>45658</v>
      </c>
      <c r="B19" t="s">
        <v>27</v>
      </c>
      <c r="E19" s="20">
        <v>8413</v>
      </c>
      <c r="M19">
        <f t="shared" si="0"/>
        <v>8413</v>
      </c>
    </row>
    <row r="20" spans="1:13" x14ac:dyDescent="0.25">
      <c r="A20" s="2">
        <v>45658</v>
      </c>
      <c r="B20" t="s">
        <v>51</v>
      </c>
      <c r="E20" s="20">
        <v>81488</v>
      </c>
      <c r="M20">
        <f t="shared" si="0"/>
        <v>81488</v>
      </c>
    </row>
    <row r="21" spans="1:13" x14ac:dyDescent="0.25">
      <c r="A21" s="2">
        <v>45689</v>
      </c>
      <c r="B21" s="11" t="s">
        <v>7</v>
      </c>
      <c r="D21">
        <f t="shared" ref="D21:D38" si="1">M4</f>
        <v>347</v>
      </c>
      <c r="M21">
        <f t="shared" si="0"/>
        <v>347</v>
      </c>
    </row>
    <row r="22" spans="1:13" x14ac:dyDescent="0.25">
      <c r="A22" s="2">
        <v>45689</v>
      </c>
      <c r="B22" t="s">
        <v>43</v>
      </c>
      <c r="D22">
        <f t="shared" si="1"/>
        <v>844</v>
      </c>
      <c r="M22">
        <f t="shared" si="0"/>
        <v>844</v>
      </c>
    </row>
    <row r="23" spans="1:13" x14ac:dyDescent="0.25">
      <c r="A23" s="2">
        <v>45689</v>
      </c>
      <c r="B23" t="s">
        <v>9</v>
      </c>
      <c r="D23">
        <f t="shared" si="1"/>
        <v>3844</v>
      </c>
      <c r="M23">
        <f t="shared" si="0"/>
        <v>3844</v>
      </c>
    </row>
    <row r="24" spans="1:13" x14ac:dyDescent="0.25">
      <c r="A24" s="2">
        <v>45689</v>
      </c>
      <c r="B24" t="s">
        <v>44</v>
      </c>
      <c r="D24">
        <f t="shared" si="1"/>
        <v>32</v>
      </c>
      <c r="M24">
        <f t="shared" si="0"/>
        <v>32</v>
      </c>
    </row>
    <row r="25" spans="1:13" x14ac:dyDescent="0.25">
      <c r="A25" s="2">
        <v>45689</v>
      </c>
      <c r="B25" t="s">
        <v>11</v>
      </c>
      <c r="D25">
        <f t="shared" si="1"/>
        <v>8483</v>
      </c>
      <c r="M25">
        <f t="shared" si="0"/>
        <v>8483</v>
      </c>
    </row>
    <row r="26" spans="1:13" x14ac:dyDescent="0.25">
      <c r="A26" s="2">
        <v>45689</v>
      </c>
      <c r="B26" t="s">
        <v>45</v>
      </c>
      <c r="D26">
        <f t="shared" si="1"/>
        <v>7278</v>
      </c>
      <c r="M26">
        <f t="shared" si="0"/>
        <v>7278</v>
      </c>
    </row>
    <row r="27" spans="1:13" x14ac:dyDescent="0.25">
      <c r="A27" s="2">
        <v>45689</v>
      </c>
      <c r="B27" t="s">
        <v>46</v>
      </c>
      <c r="D27">
        <f t="shared" si="1"/>
        <v>105</v>
      </c>
      <c r="M27">
        <f t="shared" si="0"/>
        <v>105</v>
      </c>
    </row>
    <row r="28" spans="1:13" x14ac:dyDescent="0.25">
      <c r="A28" s="2">
        <v>45689</v>
      </c>
      <c r="B28" t="s">
        <v>47</v>
      </c>
      <c r="D28">
        <f t="shared" si="1"/>
        <v>9706</v>
      </c>
      <c r="M28">
        <f t="shared" si="0"/>
        <v>9706</v>
      </c>
    </row>
    <row r="29" spans="1:13" x14ac:dyDescent="0.25">
      <c r="A29" s="2">
        <v>45689</v>
      </c>
      <c r="B29" t="s">
        <v>48</v>
      </c>
      <c r="D29">
        <f t="shared" si="1"/>
        <v>6102</v>
      </c>
      <c r="M29">
        <f t="shared" si="0"/>
        <v>6102</v>
      </c>
    </row>
    <row r="30" spans="1:13" x14ac:dyDescent="0.25">
      <c r="A30" s="2">
        <v>45689</v>
      </c>
      <c r="B30" t="s">
        <v>6</v>
      </c>
      <c r="D30">
        <f t="shared" si="1"/>
        <v>440</v>
      </c>
      <c r="M30">
        <f t="shared" si="0"/>
        <v>440</v>
      </c>
    </row>
    <row r="31" spans="1:13" x14ac:dyDescent="0.25">
      <c r="A31" s="2">
        <v>45689</v>
      </c>
      <c r="B31" t="s">
        <v>16</v>
      </c>
      <c r="D31">
        <f t="shared" si="1"/>
        <v>973</v>
      </c>
      <c r="M31">
        <f t="shared" si="0"/>
        <v>973</v>
      </c>
    </row>
    <row r="32" spans="1:13" x14ac:dyDescent="0.25">
      <c r="A32" s="2">
        <v>45689</v>
      </c>
      <c r="B32" t="s">
        <v>49</v>
      </c>
      <c r="D32">
        <f t="shared" si="1"/>
        <v>973</v>
      </c>
      <c r="M32">
        <f t="shared" si="0"/>
        <v>973</v>
      </c>
    </row>
    <row r="33" spans="1:13" x14ac:dyDescent="0.25">
      <c r="A33" s="2">
        <v>45689</v>
      </c>
      <c r="B33" t="s">
        <v>3</v>
      </c>
      <c r="D33">
        <f t="shared" si="1"/>
        <v>885</v>
      </c>
      <c r="M33">
        <f t="shared" si="0"/>
        <v>885</v>
      </c>
    </row>
    <row r="34" spans="1:13" x14ac:dyDescent="0.25">
      <c r="A34" s="2">
        <v>45689</v>
      </c>
      <c r="B34" t="s">
        <v>50</v>
      </c>
      <c r="D34">
        <f t="shared" si="1"/>
        <v>1490</v>
      </c>
      <c r="M34">
        <f t="shared" si="0"/>
        <v>1490</v>
      </c>
    </row>
    <row r="35" spans="1:13" x14ac:dyDescent="0.25">
      <c r="A35" s="2">
        <v>45689</v>
      </c>
      <c r="B35" t="s">
        <v>19</v>
      </c>
      <c r="D35">
        <f t="shared" si="1"/>
        <v>1243</v>
      </c>
      <c r="M35">
        <f t="shared" si="0"/>
        <v>1243</v>
      </c>
    </row>
    <row r="36" spans="1:13" x14ac:dyDescent="0.25">
      <c r="A36" s="2">
        <v>45689</v>
      </c>
      <c r="B36" t="s">
        <v>27</v>
      </c>
      <c r="D36">
        <f t="shared" si="1"/>
        <v>8413</v>
      </c>
      <c r="M36">
        <f t="shared" si="0"/>
        <v>8413</v>
      </c>
    </row>
    <row r="37" spans="1:13" x14ac:dyDescent="0.25">
      <c r="A37" s="2">
        <v>45689</v>
      </c>
      <c r="B37" t="s">
        <v>51</v>
      </c>
      <c r="D37">
        <f t="shared" si="1"/>
        <v>81488</v>
      </c>
      <c r="M37">
        <f t="shared" si="0"/>
        <v>81488</v>
      </c>
    </row>
    <row r="38" spans="1:13" x14ac:dyDescent="0.25">
      <c r="A38" s="2">
        <v>45717</v>
      </c>
      <c r="B38" s="11" t="s">
        <v>7</v>
      </c>
      <c r="D38">
        <f t="shared" si="1"/>
        <v>347</v>
      </c>
      <c r="E38">
        <v>45</v>
      </c>
      <c r="M38">
        <f t="shared" si="0"/>
        <v>392</v>
      </c>
    </row>
    <row r="39" spans="1:13" x14ac:dyDescent="0.25">
      <c r="A39" s="2">
        <v>45717</v>
      </c>
      <c r="B39" t="s">
        <v>43</v>
      </c>
      <c r="D39">
        <f t="shared" ref="D39:D54" si="2">M22</f>
        <v>844</v>
      </c>
      <c r="E39">
        <v>535</v>
      </c>
      <c r="M39">
        <f t="shared" si="0"/>
        <v>1379</v>
      </c>
    </row>
    <row r="40" spans="1:13" x14ac:dyDescent="0.25">
      <c r="A40" s="2">
        <v>45717</v>
      </c>
      <c r="B40" t="s">
        <v>9</v>
      </c>
      <c r="D40">
        <f t="shared" si="2"/>
        <v>3844</v>
      </c>
      <c r="E40">
        <v>11443</v>
      </c>
      <c r="G40">
        <v>150</v>
      </c>
      <c r="M40">
        <f t="shared" si="0"/>
        <v>15437</v>
      </c>
    </row>
    <row r="41" spans="1:13" x14ac:dyDescent="0.25">
      <c r="A41" s="2">
        <v>45717</v>
      </c>
      <c r="B41" t="s">
        <v>44</v>
      </c>
      <c r="D41">
        <f t="shared" si="2"/>
        <v>32</v>
      </c>
      <c r="E41">
        <v>6303</v>
      </c>
      <c r="G41">
        <v>150</v>
      </c>
      <c r="M41">
        <f t="shared" si="0"/>
        <v>6485</v>
      </c>
    </row>
    <row r="42" spans="1:13" x14ac:dyDescent="0.25">
      <c r="A42" s="2">
        <v>45717</v>
      </c>
      <c r="B42" t="s">
        <v>11</v>
      </c>
      <c r="D42">
        <f t="shared" si="2"/>
        <v>8483</v>
      </c>
      <c r="E42">
        <v>25095</v>
      </c>
      <c r="G42">
        <v>520</v>
      </c>
      <c r="M42">
        <f t="shared" si="0"/>
        <v>34098</v>
      </c>
    </row>
    <row r="43" spans="1:13" x14ac:dyDescent="0.25">
      <c r="A43" s="2">
        <v>45717</v>
      </c>
      <c r="B43" t="s">
        <v>45</v>
      </c>
      <c r="D43">
        <f t="shared" si="2"/>
        <v>7278</v>
      </c>
      <c r="E43">
        <v>26492</v>
      </c>
      <c r="G43">
        <v>520</v>
      </c>
      <c r="M43">
        <f t="shared" si="0"/>
        <v>34290</v>
      </c>
    </row>
    <row r="44" spans="1:13" x14ac:dyDescent="0.25">
      <c r="A44" s="2">
        <v>45717</v>
      </c>
      <c r="B44" t="s">
        <v>46</v>
      </c>
      <c r="D44">
        <f t="shared" si="2"/>
        <v>105</v>
      </c>
      <c r="E44" s="21">
        <v>30053</v>
      </c>
      <c r="M44">
        <f t="shared" si="0"/>
        <v>30158</v>
      </c>
    </row>
    <row r="45" spans="1:13" x14ac:dyDescent="0.25">
      <c r="A45" s="2">
        <v>45717</v>
      </c>
      <c r="B45" t="s">
        <v>47</v>
      </c>
      <c r="D45">
        <f t="shared" si="2"/>
        <v>9706</v>
      </c>
      <c r="E45" s="21">
        <v>9170</v>
      </c>
      <c r="G45">
        <v>520</v>
      </c>
      <c r="M45">
        <f t="shared" si="0"/>
        <v>19396</v>
      </c>
    </row>
    <row r="46" spans="1:13" x14ac:dyDescent="0.25">
      <c r="A46" s="2">
        <v>45717</v>
      </c>
      <c r="B46" t="s">
        <v>48</v>
      </c>
      <c r="D46">
        <f t="shared" si="2"/>
        <v>6102</v>
      </c>
      <c r="E46" s="21">
        <v>5867</v>
      </c>
      <c r="G46">
        <v>198</v>
      </c>
      <c r="M46">
        <f t="shared" si="0"/>
        <v>12167</v>
      </c>
    </row>
    <row r="47" spans="1:13" x14ac:dyDescent="0.25">
      <c r="A47" s="2">
        <v>45717</v>
      </c>
      <c r="B47" t="s">
        <v>6</v>
      </c>
      <c r="D47">
        <f t="shared" si="2"/>
        <v>440</v>
      </c>
      <c r="E47" s="21">
        <v>77</v>
      </c>
      <c r="M47">
        <f t="shared" si="0"/>
        <v>517</v>
      </c>
    </row>
    <row r="48" spans="1:13" x14ac:dyDescent="0.25">
      <c r="A48" s="2">
        <v>45717</v>
      </c>
      <c r="B48" t="s">
        <v>16</v>
      </c>
      <c r="D48">
        <f t="shared" si="2"/>
        <v>973</v>
      </c>
      <c r="E48" s="21">
        <v>827</v>
      </c>
      <c r="G48">
        <v>132</v>
      </c>
      <c r="M48">
        <f t="shared" si="0"/>
        <v>1932</v>
      </c>
    </row>
    <row r="49" spans="1:15" x14ac:dyDescent="0.25">
      <c r="A49" s="2">
        <v>45717</v>
      </c>
      <c r="B49" t="s">
        <v>49</v>
      </c>
      <c r="D49">
        <f t="shared" si="2"/>
        <v>973</v>
      </c>
      <c r="E49" s="21">
        <v>820</v>
      </c>
      <c r="G49">
        <v>132</v>
      </c>
      <c r="M49">
        <f t="shared" si="0"/>
        <v>1925</v>
      </c>
    </row>
    <row r="50" spans="1:15" x14ac:dyDescent="0.25">
      <c r="A50" s="2">
        <v>45717</v>
      </c>
      <c r="B50" t="s">
        <v>3</v>
      </c>
      <c r="D50">
        <f t="shared" si="2"/>
        <v>885</v>
      </c>
      <c r="E50" s="21">
        <v>738</v>
      </c>
      <c r="G50">
        <v>132</v>
      </c>
      <c r="M50">
        <f t="shared" si="0"/>
        <v>1755</v>
      </c>
    </row>
    <row r="51" spans="1:15" x14ac:dyDescent="0.25">
      <c r="A51" s="2">
        <v>45717</v>
      </c>
      <c r="B51" t="s">
        <v>50</v>
      </c>
      <c r="D51">
        <f t="shared" si="2"/>
        <v>1490</v>
      </c>
      <c r="E51" s="21">
        <v>1488</v>
      </c>
      <c r="M51">
        <f t="shared" si="0"/>
        <v>2978</v>
      </c>
    </row>
    <row r="52" spans="1:15" x14ac:dyDescent="0.25">
      <c r="A52" s="2">
        <v>45717</v>
      </c>
      <c r="B52" t="s">
        <v>19</v>
      </c>
      <c r="D52" s="22">
        <f t="shared" si="2"/>
        <v>1243</v>
      </c>
      <c r="E52" s="23">
        <v>7057</v>
      </c>
      <c r="M52">
        <f t="shared" si="0"/>
        <v>8300</v>
      </c>
      <c r="N52">
        <v>8282</v>
      </c>
      <c r="O52" t="s">
        <v>58</v>
      </c>
    </row>
    <row r="53" spans="1:15" x14ac:dyDescent="0.25">
      <c r="A53" s="2">
        <v>45717</v>
      </c>
      <c r="B53" t="s">
        <v>27</v>
      </c>
      <c r="D53">
        <f t="shared" si="2"/>
        <v>8413</v>
      </c>
      <c r="E53" s="20">
        <v>7951</v>
      </c>
      <c r="M53">
        <f t="shared" si="0"/>
        <v>16364</v>
      </c>
    </row>
    <row r="54" spans="1:15" x14ac:dyDescent="0.25">
      <c r="A54" s="2">
        <v>45717</v>
      </c>
      <c r="B54" t="s">
        <v>51</v>
      </c>
      <c r="D54">
        <f t="shared" si="2"/>
        <v>81488</v>
      </c>
      <c r="E54" s="20">
        <v>81280</v>
      </c>
      <c r="M54">
        <f t="shared" si="0"/>
        <v>162768</v>
      </c>
    </row>
    <row r="55" spans="1:15" x14ac:dyDescent="0.25">
      <c r="A55" s="2">
        <v>45717</v>
      </c>
      <c r="B55" t="s">
        <v>53</v>
      </c>
      <c r="D55">
        <v>7223</v>
      </c>
      <c r="G55">
        <v>520</v>
      </c>
      <c r="M55">
        <f t="shared" si="0"/>
        <v>7743</v>
      </c>
    </row>
    <row r="56" spans="1:15" x14ac:dyDescent="0.25">
      <c r="A56" s="2">
        <v>45717</v>
      </c>
      <c r="B56" t="s">
        <v>54</v>
      </c>
      <c r="D56">
        <v>112761</v>
      </c>
      <c r="M56">
        <f t="shared" si="0"/>
        <v>112761</v>
      </c>
    </row>
    <row r="57" spans="1:15" x14ac:dyDescent="0.25">
      <c r="A57" s="2">
        <v>45717</v>
      </c>
      <c r="B57" t="s">
        <v>26</v>
      </c>
      <c r="D57">
        <v>230703</v>
      </c>
      <c r="M57">
        <f t="shared" si="0"/>
        <v>230703</v>
      </c>
    </row>
    <row r="58" spans="1:15" x14ac:dyDescent="0.25">
      <c r="A58" s="2">
        <v>45717</v>
      </c>
      <c r="B58" t="s">
        <v>55</v>
      </c>
      <c r="D58">
        <v>8680</v>
      </c>
      <c r="M58">
        <f t="shared" si="0"/>
        <v>8680</v>
      </c>
    </row>
    <row r="59" spans="1:15" x14ac:dyDescent="0.25">
      <c r="A59" s="2">
        <v>45748</v>
      </c>
      <c r="B59" s="11" t="s">
        <v>7</v>
      </c>
      <c r="D59">
        <f>M38</f>
        <v>392</v>
      </c>
      <c r="L59">
        <v>347</v>
      </c>
      <c r="M59">
        <f t="shared" si="0"/>
        <v>45</v>
      </c>
    </row>
    <row r="60" spans="1:15" x14ac:dyDescent="0.25">
      <c r="A60" s="2">
        <v>45748</v>
      </c>
      <c r="B60" t="s">
        <v>43</v>
      </c>
      <c r="D60">
        <f t="shared" ref="D60:D79" si="3">M39</f>
        <v>1379</v>
      </c>
      <c r="J60" s="24">
        <v>4</v>
      </c>
      <c r="L60">
        <v>844</v>
      </c>
      <c r="M60">
        <f t="shared" si="0"/>
        <v>531</v>
      </c>
      <c r="N60">
        <v>528</v>
      </c>
      <c r="O60" t="s">
        <v>57</v>
      </c>
    </row>
    <row r="61" spans="1:15" x14ac:dyDescent="0.25">
      <c r="A61" s="2">
        <v>45748</v>
      </c>
      <c r="B61" t="s">
        <v>9</v>
      </c>
      <c r="D61">
        <f t="shared" si="3"/>
        <v>15437</v>
      </c>
      <c r="H61">
        <v>20</v>
      </c>
      <c r="J61" s="24">
        <v>19</v>
      </c>
      <c r="L61">
        <v>3844</v>
      </c>
      <c r="M61">
        <f t="shared" si="0"/>
        <v>11594</v>
      </c>
    </row>
    <row r="62" spans="1:15" x14ac:dyDescent="0.25">
      <c r="A62" s="2">
        <v>45748</v>
      </c>
      <c r="B62" s="25" t="s">
        <v>44</v>
      </c>
      <c r="C62" s="25"/>
      <c r="D62" s="25">
        <f t="shared" si="3"/>
        <v>6485</v>
      </c>
      <c r="E62" s="26"/>
      <c r="F62" s="25">
        <v>1</v>
      </c>
      <c r="G62" s="25"/>
      <c r="H62" s="25">
        <v>20</v>
      </c>
      <c r="I62" s="25"/>
      <c r="J62" s="25">
        <v>421</v>
      </c>
      <c r="K62" s="25"/>
      <c r="L62" s="25">
        <v>32</v>
      </c>
      <c r="M62" s="25">
        <f>SUM(D62:H62)-SUM(J62:L62)</f>
        <v>6053</v>
      </c>
    </row>
    <row r="63" spans="1:15" x14ac:dyDescent="0.25">
      <c r="A63" s="2">
        <v>45748</v>
      </c>
      <c r="B63" t="s">
        <v>11</v>
      </c>
      <c r="D63">
        <f t="shared" si="3"/>
        <v>34098</v>
      </c>
      <c r="H63">
        <v>5</v>
      </c>
      <c r="J63" s="24">
        <v>275</v>
      </c>
      <c r="L63">
        <v>8483</v>
      </c>
      <c r="M63">
        <f t="shared" si="0"/>
        <v>25345</v>
      </c>
    </row>
    <row r="64" spans="1:15" x14ac:dyDescent="0.25">
      <c r="A64" s="2">
        <v>45748</v>
      </c>
      <c r="B64" t="s">
        <v>45</v>
      </c>
      <c r="D64">
        <f t="shared" si="3"/>
        <v>34290</v>
      </c>
      <c r="H64">
        <v>5</v>
      </c>
      <c r="J64" s="24">
        <v>26</v>
      </c>
      <c r="L64">
        <v>7278</v>
      </c>
      <c r="M64">
        <f t="shared" si="0"/>
        <v>26991</v>
      </c>
    </row>
    <row r="65" spans="1:14" x14ac:dyDescent="0.25">
      <c r="A65" s="2">
        <v>45748</v>
      </c>
      <c r="B65" t="s">
        <v>46</v>
      </c>
      <c r="D65">
        <f t="shared" si="3"/>
        <v>30158</v>
      </c>
      <c r="H65">
        <v>5</v>
      </c>
      <c r="J65" s="24">
        <v>3608</v>
      </c>
      <c r="L65">
        <v>105</v>
      </c>
      <c r="M65" s="1">
        <f>SUM(D65:H65)-SUM(J65:L65)</f>
        <v>26450</v>
      </c>
      <c r="N65">
        <v>19705</v>
      </c>
    </row>
    <row r="66" spans="1:14" x14ac:dyDescent="0.25">
      <c r="A66" s="2">
        <v>45748</v>
      </c>
      <c r="B66" t="s">
        <v>47</v>
      </c>
      <c r="D66">
        <f t="shared" si="3"/>
        <v>19396</v>
      </c>
      <c r="H66">
        <v>5</v>
      </c>
      <c r="J66" s="24">
        <v>15</v>
      </c>
      <c r="L66">
        <v>9706</v>
      </c>
      <c r="M66">
        <f t="shared" si="0"/>
        <v>9680</v>
      </c>
    </row>
    <row r="67" spans="1:14" x14ac:dyDescent="0.25">
      <c r="A67" s="2">
        <v>45748</v>
      </c>
      <c r="B67" t="s">
        <v>48</v>
      </c>
      <c r="D67">
        <f t="shared" si="3"/>
        <v>12167</v>
      </c>
      <c r="H67">
        <v>20</v>
      </c>
      <c r="L67">
        <v>6102</v>
      </c>
      <c r="M67">
        <f t="shared" si="0"/>
        <v>6085</v>
      </c>
    </row>
    <row r="68" spans="1:14" x14ac:dyDescent="0.25">
      <c r="A68" s="2">
        <v>45748</v>
      </c>
      <c r="B68" t="s">
        <v>6</v>
      </c>
      <c r="D68">
        <f t="shared" si="3"/>
        <v>517</v>
      </c>
      <c r="J68" s="24">
        <v>11</v>
      </c>
      <c r="L68">
        <v>440</v>
      </c>
      <c r="M68">
        <f t="shared" si="0"/>
        <v>66</v>
      </c>
    </row>
    <row r="69" spans="1:14" x14ac:dyDescent="0.25">
      <c r="A69" s="2">
        <v>45748</v>
      </c>
      <c r="B69" t="s">
        <v>16</v>
      </c>
      <c r="D69">
        <f t="shared" si="3"/>
        <v>1932</v>
      </c>
      <c r="H69">
        <v>6</v>
      </c>
      <c r="L69">
        <v>973</v>
      </c>
      <c r="M69">
        <f t="shared" ref="M69:M132" si="4">SUM(D69:H69)-SUM(J69:L69)</f>
        <v>965</v>
      </c>
    </row>
    <row r="70" spans="1:14" x14ac:dyDescent="0.25">
      <c r="A70" s="2">
        <v>45748</v>
      </c>
      <c r="B70" t="s">
        <v>49</v>
      </c>
      <c r="D70">
        <f t="shared" si="3"/>
        <v>1925</v>
      </c>
      <c r="H70">
        <v>7</v>
      </c>
      <c r="J70" s="24">
        <v>4</v>
      </c>
      <c r="L70">
        <v>973</v>
      </c>
      <c r="M70">
        <f t="shared" si="4"/>
        <v>955</v>
      </c>
    </row>
    <row r="71" spans="1:14" x14ac:dyDescent="0.25">
      <c r="A71" s="2">
        <v>45748</v>
      </c>
      <c r="B71" t="s">
        <v>3</v>
      </c>
      <c r="D71">
        <f t="shared" si="3"/>
        <v>1755</v>
      </c>
      <c r="H71">
        <v>7</v>
      </c>
      <c r="J71" s="24">
        <v>2</v>
      </c>
      <c r="L71">
        <v>885</v>
      </c>
      <c r="M71">
        <f t="shared" si="4"/>
        <v>875</v>
      </c>
    </row>
    <row r="72" spans="1:14" x14ac:dyDescent="0.25">
      <c r="A72" s="2">
        <v>45748</v>
      </c>
      <c r="B72" t="s">
        <v>50</v>
      </c>
      <c r="D72">
        <f t="shared" si="3"/>
        <v>2978</v>
      </c>
      <c r="L72">
        <v>1490</v>
      </c>
      <c r="M72">
        <f t="shared" si="4"/>
        <v>1488</v>
      </c>
    </row>
    <row r="73" spans="1:14" x14ac:dyDescent="0.25">
      <c r="A73" s="2">
        <v>45748</v>
      </c>
      <c r="B73" t="s">
        <v>19</v>
      </c>
      <c r="D73">
        <f t="shared" si="3"/>
        <v>8300</v>
      </c>
      <c r="J73" s="24">
        <v>252</v>
      </c>
      <c r="L73">
        <v>1243</v>
      </c>
      <c r="M73">
        <f t="shared" si="4"/>
        <v>6805</v>
      </c>
    </row>
    <row r="74" spans="1:14" x14ac:dyDescent="0.25">
      <c r="A74" s="2">
        <v>45748</v>
      </c>
      <c r="B74" t="s">
        <v>27</v>
      </c>
      <c r="D74">
        <f t="shared" si="3"/>
        <v>16364</v>
      </c>
      <c r="L74">
        <v>8413</v>
      </c>
      <c r="M74">
        <f t="shared" si="4"/>
        <v>7951</v>
      </c>
    </row>
    <row r="75" spans="1:14" x14ac:dyDescent="0.25">
      <c r="A75" s="2">
        <v>45748</v>
      </c>
      <c r="B75" t="s">
        <v>51</v>
      </c>
      <c r="D75">
        <f t="shared" si="3"/>
        <v>162768</v>
      </c>
      <c r="I75">
        <v>81280</v>
      </c>
      <c r="J75" s="24">
        <v>0</v>
      </c>
      <c r="L75">
        <v>81488</v>
      </c>
      <c r="M75">
        <f>SUM(D75:H75)-SUM(I75:L75)</f>
        <v>0</v>
      </c>
    </row>
    <row r="76" spans="1:14" x14ac:dyDescent="0.25">
      <c r="A76" s="2">
        <v>45748</v>
      </c>
      <c r="B76" t="s">
        <v>53</v>
      </c>
      <c r="D76">
        <f t="shared" si="3"/>
        <v>7743</v>
      </c>
      <c r="J76" s="24">
        <v>23</v>
      </c>
      <c r="M76">
        <f t="shared" si="4"/>
        <v>7720</v>
      </c>
    </row>
    <row r="77" spans="1:14" x14ac:dyDescent="0.25">
      <c r="A77" s="2">
        <v>45748</v>
      </c>
      <c r="B77" t="s">
        <v>54</v>
      </c>
      <c r="D77">
        <f t="shared" si="3"/>
        <v>112761</v>
      </c>
      <c r="M77">
        <f t="shared" si="4"/>
        <v>112761</v>
      </c>
    </row>
    <row r="78" spans="1:14" x14ac:dyDescent="0.25">
      <c r="A78" s="2">
        <v>45748</v>
      </c>
      <c r="B78" t="s">
        <v>26</v>
      </c>
      <c r="D78">
        <f t="shared" si="3"/>
        <v>230703</v>
      </c>
      <c r="M78">
        <f t="shared" si="4"/>
        <v>230703</v>
      </c>
    </row>
    <row r="79" spans="1:14" x14ac:dyDescent="0.25">
      <c r="A79" s="2">
        <v>45748</v>
      </c>
      <c r="B79" t="s">
        <v>55</v>
      </c>
      <c r="D79">
        <v>8680</v>
      </c>
      <c r="I79">
        <f>M58</f>
        <v>8680</v>
      </c>
      <c r="M79">
        <f>SUM(D79:H79)-SUM(I79:L79)</f>
        <v>0</v>
      </c>
    </row>
    <row r="80" spans="1:14" x14ac:dyDescent="0.25">
      <c r="A80" s="2">
        <v>45778</v>
      </c>
      <c r="B80" s="11" t="s">
        <v>7</v>
      </c>
      <c r="D80">
        <f>M59</f>
        <v>45</v>
      </c>
      <c r="J80" s="24">
        <v>1</v>
      </c>
      <c r="M80">
        <f t="shared" si="4"/>
        <v>44</v>
      </c>
    </row>
    <row r="81" spans="1:13" x14ac:dyDescent="0.25">
      <c r="A81" s="2">
        <v>45778</v>
      </c>
      <c r="B81" t="s">
        <v>43</v>
      </c>
      <c r="D81">
        <f t="shared" ref="D81:D100" si="5">M60</f>
        <v>531</v>
      </c>
      <c r="M81">
        <f t="shared" si="4"/>
        <v>531</v>
      </c>
    </row>
    <row r="82" spans="1:13" x14ac:dyDescent="0.25">
      <c r="A82" s="2">
        <v>45778</v>
      </c>
      <c r="B82" t="s">
        <v>9</v>
      </c>
      <c r="D82">
        <f t="shared" si="5"/>
        <v>11594</v>
      </c>
      <c r="J82" s="24">
        <v>2</v>
      </c>
      <c r="M82">
        <f t="shared" si="4"/>
        <v>11592</v>
      </c>
    </row>
    <row r="83" spans="1:13" x14ac:dyDescent="0.25">
      <c r="A83" s="2">
        <v>45778</v>
      </c>
      <c r="B83" s="25" t="s">
        <v>44</v>
      </c>
      <c r="D83">
        <f t="shared" si="5"/>
        <v>6053</v>
      </c>
      <c r="J83" s="24">
        <v>120</v>
      </c>
      <c r="M83">
        <f t="shared" si="4"/>
        <v>5933</v>
      </c>
    </row>
    <row r="84" spans="1:13" x14ac:dyDescent="0.25">
      <c r="A84" s="2">
        <v>45778</v>
      </c>
      <c r="B84" t="s">
        <v>11</v>
      </c>
      <c r="D84">
        <f t="shared" si="5"/>
        <v>25345</v>
      </c>
      <c r="J84" s="24">
        <v>20</v>
      </c>
      <c r="M84">
        <f t="shared" si="4"/>
        <v>25325</v>
      </c>
    </row>
    <row r="85" spans="1:13" x14ac:dyDescent="0.25">
      <c r="A85" s="2">
        <v>45778</v>
      </c>
      <c r="B85" t="s">
        <v>45</v>
      </c>
      <c r="D85">
        <f t="shared" si="5"/>
        <v>26991</v>
      </c>
      <c r="J85" s="24">
        <v>251</v>
      </c>
      <c r="M85">
        <f t="shared" si="4"/>
        <v>26740</v>
      </c>
    </row>
    <row r="86" spans="1:13" x14ac:dyDescent="0.25">
      <c r="A86" s="2">
        <v>45778</v>
      </c>
      <c r="B86" t="s">
        <v>46</v>
      </c>
      <c r="D86">
        <f t="shared" si="5"/>
        <v>26450</v>
      </c>
      <c r="J86" s="24">
        <v>2646</v>
      </c>
      <c r="M86">
        <f t="shared" si="4"/>
        <v>23804</v>
      </c>
    </row>
    <row r="87" spans="1:13" x14ac:dyDescent="0.25">
      <c r="A87" s="2">
        <v>45778</v>
      </c>
      <c r="B87" t="s">
        <v>47</v>
      </c>
      <c r="D87">
        <f t="shared" si="5"/>
        <v>9680</v>
      </c>
      <c r="J87" s="24">
        <v>248</v>
      </c>
      <c r="M87">
        <f t="shared" si="4"/>
        <v>9432</v>
      </c>
    </row>
    <row r="88" spans="1:13" x14ac:dyDescent="0.25">
      <c r="A88" s="2">
        <v>45778</v>
      </c>
      <c r="B88" t="s">
        <v>48</v>
      </c>
      <c r="D88">
        <f t="shared" si="5"/>
        <v>6085</v>
      </c>
      <c r="J88" s="24">
        <v>2</v>
      </c>
      <c r="M88">
        <f t="shared" si="4"/>
        <v>6083</v>
      </c>
    </row>
    <row r="89" spans="1:13" x14ac:dyDescent="0.25">
      <c r="A89" s="2">
        <v>45778</v>
      </c>
      <c r="B89" t="s">
        <v>6</v>
      </c>
      <c r="D89">
        <f t="shared" si="5"/>
        <v>66</v>
      </c>
      <c r="J89" s="24">
        <v>6</v>
      </c>
      <c r="M89">
        <f t="shared" si="4"/>
        <v>60</v>
      </c>
    </row>
    <row r="90" spans="1:13" x14ac:dyDescent="0.25">
      <c r="A90" s="2">
        <v>45778</v>
      </c>
      <c r="B90" t="s">
        <v>16</v>
      </c>
      <c r="D90">
        <f t="shared" si="5"/>
        <v>965</v>
      </c>
      <c r="J90" s="24">
        <v>1</v>
      </c>
      <c r="M90">
        <f t="shared" si="4"/>
        <v>964</v>
      </c>
    </row>
    <row r="91" spans="1:13" x14ac:dyDescent="0.25">
      <c r="A91" s="2">
        <v>45778</v>
      </c>
      <c r="B91" t="s">
        <v>49</v>
      </c>
      <c r="D91">
        <f t="shared" si="5"/>
        <v>955</v>
      </c>
      <c r="J91" s="24">
        <v>7</v>
      </c>
      <c r="M91">
        <f t="shared" si="4"/>
        <v>948</v>
      </c>
    </row>
    <row r="92" spans="1:13" x14ac:dyDescent="0.25">
      <c r="A92" s="2">
        <v>45778</v>
      </c>
      <c r="B92" t="s">
        <v>3</v>
      </c>
      <c r="D92">
        <f t="shared" si="5"/>
        <v>875</v>
      </c>
      <c r="M92">
        <f t="shared" si="4"/>
        <v>875</v>
      </c>
    </row>
    <row r="93" spans="1:13" x14ac:dyDescent="0.25">
      <c r="A93" s="2">
        <v>45778</v>
      </c>
      <c r="B93" t="s">
        <v>50</v>
      </c>
      <c r="D93">
        <f t="shared" si="5"/>
        <v>1488</v>
      </c>
      <c r="J93" s="24">
        <v>1</v>
      </c>
      <c r="M93">
        <f t="shared" si="4"/>
        <v>1487</v>
      </c>
    </row>
    <row r="94" spans="1:13" x14ac:dyDescent="0.25">
      <c r="A94" s="2">
        <v>45778</v>
      </c>
      <c r="B94" t="s">
        <v>19</v>
      </c>
      <c r="D94">
        <f t="shared" si="5"/>
        <v>6805</v>
      </c>
      <c r="J94" s="24">
        <v>162</v>
      </c>
      <c r="M94">
        <f t="shared" si="4"/>
        <v>6643</v>
      </c>
    </row>
    <row r="95" spans="1:13" x14ac:dyDescent="0.25">
      <c r="A95" s="2">
        <v>45778</v>
      </c>
      <c r="B95" t="s">
        <v>27</v>
      </c>
      <c r="D95">
        <f t="shared" si="5"/>
        <v>7951</v>
      </c>
      <c r="J95" s="24">
        <v>98</v>
      </c>
      <c r="M95">
        <f t="shared" si="4"/>
        <v>7853</v>
      </c>
    </row>
    <row r="96" spans="1:13" x14ac:dyDescent="0.25">
      <c r="A96" s="2">
        <v>45778</v>
      </c>
      <c r="B96" t="s">
        <v>51</v>
      </c>
      <c r="D96">
        <f t="shared" si="5"/>
        <v>0</v>
      </c>
      <c r="M96">
        <f t="shared" si="4"/>
        <v>0</v>
      </c>
    </row>
    <row r="97" spans="1:13" x14ac:dyDescent="0.25">
      <c r="A97" s="2">
        <v>45778</v>
      </c>
      <c r="B97" t="s">
        <v>53</v>
      </c>
      <c r="D97">
        <f t="shared" si="5"/>
        <v>7720</v>
      </c>
      <c r="J97" s="24">
        <v>15</v>
      </c>
      <c r="M97">
        <f t="shared" si="4"/>
        <v>7705</v>
      </c>
    </row>
    <row r="98" spans="1:13" x14ac:dyDescent="0.25">
      <c r="A98" s="2">
        <v>45778</v>
      </c>
      <c r="B98" t="s">
        <v>54</v>
      </c>
      <c r="D98">
        <f t="shared" si="5"/>
        <v>112761</v>
      </c>
      <c r="M98">
        <f t="shared" si="4"/>
        <v>112761</v>
      </c>
    </row>
    <row r="99" spans="1:13" x14ac:dyDescent="0.25">
      <c r="A99" s="2">
        <v>45778</v>
      </c>
      <c r="B99" t="s">
        <v>26</v>
      </c>
      <c r="D99">
        <f t="shared" si="5"/>
        <v>230703</v>
      </c>
      <c r="M99">
        <f t="shared" si="4"/>
        <v>230703</v>
      </c>
    </row>
    <row r="100" spans="1:13" x14ac:dyDescent="0.25">
      <c r="A100" s="2">
        <v>45778</v>
      </c>
      <c r="B100" t="s">
        <v>55</v>
      </c>
      <c r="D100">
        <f t="shared" si="5"/>
        <v>0</v>
      </c>
      <c r="M100">
        <f t="shared" si="4"/>
        <v>0</v>
      </c>
    </row>
    <row r="101" spans="1:13" x14ac:dyDescent="0.25">
      <c r="A101" s="2">
        <v>45809</v>
      </c>
      <c r="B101" s="11" t="s">
        <v>7</v>
      </c>
      <c r="D101">
        <f>M80</f>
        <v>44</v>
      </c>
      <c r="J101" s="24">
        <v>3</v>
      </c>
      <c r="M101">
        <f t="shared" si="4"/>
        <v>41</v>
      </c>
    </row>
    <row r="102" spans="1:13" x14ac:dyDescent="0.25">
      <c r="A102" s="2">
        <v>45809</v>
      </c>
      <c r="B102" t="s">
        <v>43</v>
      </c>
      <c r="D102">
        <f t="shared" ref="D102:D121" si="6">M81</f>
        <v>531</v>
      </c>
      <c r="J102" s="24">
        <v>1</v>
      </c>
      <c r="M102">
        <f t="shared" si="4"/>
        <v>530</v>
      </c>
    </row>
    <row r="103" spans="1:13" x14ac:dyDescent="0.25">
      <c r="A103" s="2">
        <v>45809</v>
      </c>
      <c r="B103" t="s">
        <v>9</v>
      </c>
      <c r="D103">
        <f t="shared" si="6"/>
        <v>11592</v>
      </c>
      <c r="J103" s="24">
        <v>1</v>
      </c>
      <c r="M103">
        <f t="shared" si="4"/>
        <v>11591</v>
      </c>
    </row>
    <row r="104" spans="1:13" x14ac:dyDescent="0.25">
      <c r="A104" s="2">
        <v>45809</v>
      </c>
      <c r="B104" s="25" t="s">
        <v>44</v>
      </c>
      <c r="D104">
        <f t="shared" si="6"/>
        <v>5933</v>
      </c>
      <c r="J104" s="24">
        <v>216</v>
      </c>
      <c r="M104">
        <f t="shared" si="4"/>
        <v>5717</v>
      </c>
    </row>
    <row r="105" spans="1:13" x14ac:dyDescent="0.25">
      <c r="A105" s="2">
        <v>45809</v>
      </c>
      <c r="B105" t="s">
        <v>11</v>
      </c>
      <c r="D105">
        <f t="shared" si="6"/>
        <v>25325</v>
      </c>
      <c r="J105" s="24">
        <v>265</v>
      </c>
      <c r="M105">
        <f t="shared" si="4"/>
        <v>25060</v>
      </c>
    </row>
    <row r="106" spans="1:13" x14ac:dyDescent="0.25">
      <c r="A106" s="2">
        <v>45809</v>
      </c>
      <c r="B106" t="s">
        <v>45</v>
      </c>
      <c r="D106">
        <f t="shared" si="6"/>
        <v>26740</v>
      </c>
      <c r="J106" s="24">
        <v>266</v>
      </c>
      <c r="M106">
        <f t="shared" si="4"/>
        <v>26474</v>
      </c>
    </row>
    <row r="107" spans="1:13" x14ac:dyDescent="0.25">
      <c r="A107" s="2">
        <v>45809</v>
      </c>
      <c r="B107" t="s">
        <v>46</v>
      </c>
      <c r="D107">
        <f t="shared" si="6"/>
        <v>23804</v>
      </c>
      <c r="J107" s="24">
        <v>2169</v>
      </c>
      <c r="M107">
        <f t="shared" si="4"/>
        <v>21635</v>
      </c>
    </row>
    <row r="108" spans="1:13" x14ac:dyDescent="0.25">
      <c r="A108" s="2">
        <v>45809</v>
      </c>
      <c r="B108" t="s">
        <v>47</v>
      </c>
      <c r="D108">
        <f t="shared" si="6"/>
        <v>9432</v>
      </c>
      <c r="J108" s="24">
        <v>9</v>
      </c>
      <c r="M108">
        <f t="shared" si="4"/>
        <v>9423</v>
      </c>
    </row>
    <row r="109" spans="1:13" x14ac:dyDescent="0.25">
      <c r="A109" s="2">
        <v>45809</v>
      </c>
      <c r="B109" t="s">
        <v>48</v>
      </c>
      <c r="D109">
        <f t="shared" si="6"/>
        <v>6083</v>
      </c>
      <c r="J109" s="24">
        <v>1</v>
      </c>
      <c r="M109">
        <f t="shared" si="4"/>
        <v>6082</v>
      </c>
    </row>
    <row r="110" spans="1:13" x14ac:dyDescent="0.25">
      <c r="A110" s="2">
        <v>45809</v>
      </c>
      <c r="B110" t="s">
        <v>6</v>
      </c>
      <c r="D110">
        <f t="shared" si="6"/>
        <v>60</v>
      </c>
      <c r="F110">
        <v>2</v>
      </c>
      <c r="J110" s="24">
        <v>9</v>
      </c>
      <c r="M110">
        <f t="shared" si="4"/>
        <v>53</v>
      </c>
    </row>
    <row r="111" spans="1:13" x14ac:dyDescent="0.25">
      <c r="A111" s="2">
        <v>45809</v>
      </c>
      <c r="B111" t="s">
        <v>16</v>
      </c>
      <c r="D111">
        <f t="shared" si="6"/>
        <v>964</v>
      </c>
      <c r="M111">
        <f t="shared" si="4"/>
        <v>964</v>
      </c>
    </row>
    <row r="112" spans="1:13" x14ac:dyDescent="0.25">
      <c r="A112" s="2">
        <v>45809</v>
      </c>
      <c r="B112" t="s">
        <v>49</v>
      </c>
      <c r="D112">
        <f t="shared" si="6"/>
        <v>948</v>
      </c>
      <c r="J112" s="24">
        <v>7</v>
      </c>
      <c r="M112">
        <f t="shared" si="4"/>
        <v>941</v>
      </c>
    </row>
    <row r="113" spans="1:13" x14ac:dyDescent="0.25">
      <c r="A113" s="2">
        <v>45809</v>
      </c>
      <c r="B113" t="s">
        <v>3</v>
      </c>
      <c r="D113">
        <f t="shared" si="6"/>
        <v>875</v>
      </c>
      <c r="J113" s="24">
        <v>39</v>
      </c>
      <c r="M113">
        <f t="shared" si="4"/>
        <v>836</v>
      </c>
    </row>
    <row r="114" spans="1:13" x14ac:dyDescent="0.25">
      <c r="A114" s="2">
        <v>45809</v>
      </c>
      <c r="B114" t="s">
        <v>50</v>
      </c>
      <c r="D114">
        <f t="shared" si="6"/>
        <v>1487</v>
      </c>
      <c r="J114" s="24">
        <v>4</v>
      </c>
      <c r="M114">
        <f t="shared" si="4"/>
        <v>1483</v>
      </c>
    </row>
    <row r="115" spans="1:13" x14ac:dyDescent="0.25">
      <c r="A115" s="2">
        <v>45809</v>
      </c>
      <c r="B115" t="s">
        <v>19</v>
      </c>
      <c r="D115">
        <f t="shared" si="6"/>
        <v>6643</v>
      </c>
      <c r="J115" s="24">
        <v>240</v>
      </c>
      <c r="M115">
        <f t="shared" si="4"/>
        <v>6403</v>
      </c>
    </row>
    <row r="116" spans="1:13" x14ac:dyDescent="0.25">
      <c r="A116" s="2">
        <v>45809</v>
      </c>
      <c r="B116" t="s">
        <v>27</v>
      </c>
      <c r="D116">
        <f t="shared" si="6"/>
        <v>7853</v>
      </c>
      <c r="M116">
        <f t="shared" si="4"/>
        <v>7853</v>
      </c>
    </row>
    <row r="117" spans="1:13" x14ac:dyDescent="0.25">
      <c r="A117" s="2">
        <v>45809</v>
      </c>
      <c r="B117" t="s">
        <v>51</v>
      </c>
      <c r="D117">
        <f t="shared" si="6"/>
        <v>0</v>
      </c>
      <c r="M117">
        <f t="shared" si="4"/>
        <v>0</v>
      </c>
    </row>
    <row r="118" spans="1:13" x14ac:dyDescent="0.25">
      <c r="A118" s="2">
        <v>45809</v>
      </c>
      <c r="B118" t="s">
        <v>53</v>
      </c>
      <c r="D118">
        <f t="shared" si="6"/>
        <v>7705</v>
      </c>
      <c r="F118">
        <v>1</v>
      </c>
      <c r="J118" s="24">
        <v>26</v>
      </c>
      <c r="M118">
        <f t="shared" si="4"/>
        <v>7680</v>
      </c>
    </row>
    <row r="119" spans="1:13" x14ac:dyDescent="0.25">
      <c r="A119" s="2">
        <v>45809</v>
      </c>
      <c r="B119" t="s">
        <v>54</v>
      </c>
      <c r="D119">
        <f t="shared" si="6"/>
        <v>112761</v>
      </c>
      <c r="M119">
        <f t="shared" si="4"/>
        <v>112761</v>
      </c>
    </row>
    <row r="120" spans="1:13" x14ac:dyDescent="0.25">
      <c r="A120" s="2">
        <v>45809</v>
      </c>
      <c r="B120" t="s">
        <v>26</v>
      </c>
      <c r="D120">
        <f t="shared" si="6"/>
        <v>230703</v>
      </c>
      <c r="M120">
        <f t="shared" si="4"/>
        <v>230703</v>
      </c>
    </row>
    <row r="121" spans="1:13" x14ac:dyDescent="0.25">
      <c r="A121" s="2">
        <v>45809</v>
      </c>
      <c r="B121" t="s">
        <v>55</v>
      </c>
      <c r="D121">
        <f t="shared" si="6"/>
        <v>0</v>
      </c>
      <c r="M121">
        <f t="shared" si="4"/>
        <v>0</v>
      </c>
    </row>
    <row r="122" spans="1:13" x14ac:dyDescent="0.25">
      <c r="A122" s="2">
        <v>45809</v>
      </c>
      <c r="B122" t="s">
        <v>61</v>
      </c>
      <c r="E122" s="20">
        <v>4500</v>
      </c>
      <c r="M122">
        <f t="shared" si="4"/>
        <v>4500</v>
      </c>
    </row>
    <row r="123" spans="1:13" x14ac:dyDescent="0.25">
      <c r="A123" s="2">
        <v>45809</v>
      </c>
      <c r="B123" t="s">
        <v>23</v>
      </c>
      <c r="E123" s="20">
        <v>7290</v>
      </c>
      <c r="M123">
        <f t="shared" si="4"/>
        <v>7290</v>
      </c>
    </row>
    <row r="124" spans="1:13" x14ac:dyDescent="0.25">
      <c r="A124" s="2">
        <v>45809</v>
      </c>
      <c r="B124" t="s">
        <v>24</v>
      </c>
      <c r="E124" s="20">
        <v>4500</v>
      </c>
      <c r="M124">
        <f t="shared" si="4"/>
        <v>4500</v>
      </c>
    </row>
    <row r="125" spans="1:13" x14ac:dyDescent="0.25">
      <c r="A125" s="2">
        <v>45809</v>
      </c>
      <c r="B125" t="s">
        <v>25</v>
      </c>
      <c r="E125" s="20">
        <v>4500</v>
      </c>
      <c r="M125">
        <f t="shared" si="4"/>
        <v>4500</v>
      </c>
    </row>
    <row r="126" spans="1:13" x14ac:dyDescent="0.25">
      <c r="M126">
        <f t="shared" si="4"/>
        <v>0</v>
      </c>
    </row>
    <row r="127" spans="1:13" x14ac:dyDescent="0.25">
      <c r="M127">
        <f t="shared" si="4"/>
        <v>0</v>
      </c>
    </row>
    <row r="128" spans="1:13" x14ac:dyDescent="0.25">
      <c r="M128">
        <f t="shared" si="4"/>
        <v>0</v>
      </c>
    </row>
    <row r="129" spans="13:13" x14ac:dyDescent="0.25">
      <c r="M129">
        <f t="shared" si="4"/>
        <v>0</v>
      </c>
    </row>
    <row r="130" spans="13:13" x14ac:dyDescent="0.25">
      <c r="M130">
        <f t="shared" si="4"/>
        <v>0</v>
      </c>
    </row>
    <row r="131" spans="13:13" x14ac:dyDescent="0.25">
      <c r="M131">
        <f t="shared" si="4"/>
        <v>0</v>
      </c>
    </row>
    <row r="132" spans="13:13" x14ac:dyDescent="0.25">
      <c r="M132">
        <f t="shared" si="4"/>
        <v>0</v>
      </c>
    </row>
    <row r="133" spans="13:13" x14ac:dyDescent="0.25">
      <c r="M133">
        <f t="shared" ref="M133:M159" si="7">SUM(D133:H133)-SUM(J133:L133)</f>
        <v>0</v>
      </c>
    </row>
    <row r="134" spans="13:13" x14ac:dyDescent="0.25">
      <c r="M134">
        <f t="shared" si="7"/>
        <v>0</v>
      </c>
    </row>
    <row r="135" spans="13:13" x14ac:dyDescent="0.25">
      <c r="M135">
        <f t="shared" si="7"/>
        <v>0</v>
      </c>
    </row>
    <row r="136" spans="13:13" x14ac:dyDescent="0.25">
      <c r="M136">
        <f t="shared" si="7"/>
        <v>0</v>
      </c>
    </row>
    <row r="137" spans="13:13" x14ac:dyDescent="0.25">
      <c r="M137">
        <f t="shared" si="7"/>
        <v>0</v>
      </c>
    </row>
    <row r="138" spans="13:13" x14ac:dyDescent="0.25">
      <c r="M138">
        <f t="shared" si="7"/>
        <v>0</v>
      </c>
    </row>
    <row r="139" spans="13:13" x14ac:dyDescent="0.25">
      <c r="M139">
        <f t="shared" si="7"/>
        <v>0</v>
      </c>
    </row>
    <row r="140" spans="13:13" x14ac:dyDescent="0.25">
      <c r="M140">
        <f t="shared" si="7"/>
        <v>0</v>
      </c>
    </row>
    <row r="141" spans="13:13" x14ac:dyDescent="0.25">
      <c r="M141">
        <f t="shared" si="7"/>
        <v>0</v>
      </c>
    </row>
    <row r="142" spans="13:13" x14ac:dyDescent="0.25">
      <c r="M142">
        <f t="shared" si="7"/>
        <v>0</v>
      </c>
    </row>
    <row r="143" spans="13:13" x14ac:dyDescent="0.25">
      <c r="M143">
        <f t="shared" si="7"/>
        <v>0</v>
      </c>
    </row>
    <row r="144" spans="13:13" x14ac:dyDescent="0.25">
      <c r="M144">
        <f t="shared" si="7"/>
        <v>0</v>
      </c>
    </row>
    <row r="145" spans="13:13" x14ac:dyDescent="0.25">
      <c r="M145">
        <f t="shared" si="7"/>
        <v>0</v>
      </c>
    </row>
    <row r="146" spans="13:13" x14ac:dyDescent="0.25">
      <c r="M146">
        <f t="shared" si="7"/>
        <v>0</v>
      </c>
    </row>
    <row r="147" spans="13:13" x14ac:dyDescent="0.25">
      <c r="M147">
        <f t="shared" si="7"/>
        <v>0</v>
      </c>
    </row>
    <row r="148" spans="13:13" x14ac:dyDescent="0.25">
      <c r="M148">
        <f t="shared" si="7"/>
        <v>0</v>
      </c>
    </row>
    <row r="149" spans="13:13" x14ac:dyDescent="0.25">
      <c r="M149">
        <f t="shared" si="7"/>
        <v>0</v>
      </c>
    </row>
    <row r="150" spans="13:13" x14ac:dyDescent="0.25">
      <c r="M150">
        <f t="shared" si="7"/>
        <v>0</v>
      </c>
    </row>
    <row r="151" spans="13:13" x14ac:dyDescent="0.25">
      <c r="M151">
        <f t="shared" si="7"/>
        <v>0</v>
      </c>
    </row>
    <row r="152" spans="13:13" x14ac:dyDescent="0.25">
      <c r="M152">
        <f t="shared" si="7"/>
        <v>0</v>
      </c>
    </row>
    <row r="153" spans="13:13" x14ac:dyDescent="0.25">
      <c r="M153">
        <f t="shared" si="7"/>
        <v>0</v>
      </c>
    </row>
    <row r="154" spans="13:13" x14ac:dyDescent="0.25">
      <c r="M154">
        <f t="shared" si="7"/>
        <v>0</v>
      </c>
    </row>
    <row r="155" spans="13:13" x14ac:dyDescent="0.25">
      <c r="M155">
        <f t="shared" si="7"/>
        <v>0</v>
      </c>
    </row>
    <row r="156" spans="13:13" x14ac:dyDescent="0.25">
      <c r="M156">
        <f t="shared" si="7"/>
        <v>0</v>
      </c>
    </row>
    <row r="157" spans="13:13" x14ac:dyDescent="0.25">
      <c r="M157">
        <f t="shared" si="7"/>
        <v>0</v>
      </c>
    </row>
    <row r="158" spans="13:13" x14ac:dyDescent="0.25">
      <c r="M158">
        <f t="shared" si="7"/>
        <v>0</v>
      </c>
    </row>
    <row r="159" spans="13:13" x14ac:dyDescent="0.25">
      <c r="M159">
        <f t="shared" si="7"/>
        <v>0</v>
      </c>
    </row>
  </sheetData>
  <pageMargins left="0.7" right="0.7" top="0.75" bottom="0.75" header="0.3" footer="0.3"/>
  <ignoredErrors>
    <ignoredError sqref="M75:M7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Tbl</vt:lpstr>
      <vt:lpstr>Costos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Jarvin Scott Olivas</dc:creator>
  <cp:lastModifiedBy>Jarvin Scott Olivas</cp:lastModifiedBy>
  <dcterms:created xsi:type="dcterms:W3CDTF">2026-09-01T15:02:52Z</dcterms:created>
  <dcterms:modified xsi:type="dcterms:W3CDTF">2026-09-07T16:31:44Z</dcterms:modified>
</cp:coreProperties>
</file>